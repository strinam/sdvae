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Sheet1"/>
    <sheet r:id="rId2" sheetId="2" name="mse"/>
    <sheet r:id="rId3" sheetId="3" name="fid"/>
    <sheet r:id="rId4" sheetId="4" name="rerun5"/>
    <sheet r:id="rId5" sheetId="5" name="medvae"/>
    <sheet r:id="rId6" sheetId="6" name="fa"/>
    <sheet r:id="rId7" sheetId="7" name="cif10"/>
    <sheet r:id="rId8" sheetId="8" name="cif100"/>
  </sheets>
  <calcPr fullCalcOnLoad="1"/>
</workbook>
</file>

<file path=xl/sharedStrings.xml><?xml version="1.0" encoding="utf-8"?>
<sst xmlns="http://schemas.openxmlformats.org/spreadsheetml/2006/main" count="196" uniqueCount="65">
  <si>
    <t>d_weight</t>
  </si>
  <si>
    <t>klt_weight</t>
  </si>
  <si>
    <t>GANstartStep</t>
  </si>
  <si>
    <t>fid1</t>
  </si>
  <si>
    <t>fid2</t>
  </si>
  <si>
    <t>fid3</t>
  </si>
  <si>
    <t>fid4</t>
  </si>
  <si>
    <t>sd</t>
  </si>
  <si>
    <t>∞</t>
  </si>
  <si>
    <t>vae</t>
  </si>
  <si>
    <t>iwae</t>
  </si>
  <si>
    <t>FID</t>
  </si>
  <si>
    <t>mnist</t>
  </si>
  <si>
    <t>fa</t>
  </si>
  <si>
    <t>cif10</t>
  </si>
  <si>
    <t>cif100</t>
  </si>
  <si>
    <t>tiny</t>
  </si>
  <si>
    <t>ours</t>
  </si>
  <si>
    <t>B=2</t>
  </si>
  <si>
    <t>cv</t>
  </si>
  <si>
    <t>B_cv=10</t>
  </si>
  <si>
    <t>B=5</t>
  </si>
  <si>
    <t>pm</t>
  </si>
  <si>
    <t>pvae</t>
  </si>
  <si>
    <t>ncp</t>
  </si>
  <si>
    <t>bam</t>
  </si>
  <si>
    <t>B=300</t>
  </si>
  <si>
    <t>gsm</t>
  </si>
  <si>
    <t>B=10</t>
  </si>
  <si>
    <t>advi</t>
  </si>
  <si>
    <t>1e-3</t>
  </si>
  <si>
    <t>5e-4</t>
  </si>
  <si>
    <t>5e-5</t>
  </si>
  <si>
    <t>1e-4</t>
  </si>
  <si>
    <t>T=10</t>
  </si>
  <si>
    <t>T=16</t>
  </si>
  <si>
    <t>T=22</t>
  </si>
  <si>
    <t>T=21</t>
  </si>
  <si>
    <t>T=9</t>
  </si>
  <si>
    <t>T=31</t>
  </si>
  <si>
    <t>T=46</t>
  </si>
  <si>
    <t>T=41</t>
  </si>
  <si>
    <t>T=300, B=50</t>
  </si>
  <si>
    <t>T=100</t>
  </si>
  <si>
    <t>T=300</t>
  </si>
  <si>
    <t>T=59</t>
  </si>
  <si>
    <t>Model</t>
  </si>
  <si>
    <t>t=50</t>
  </si>
  <si>
    <t>t=100</t>
  </si>
  <si>
    <t>t=150</t>
  </si>
  <si>
    <t>t=200</t>
  </si>
  <si>
    <t>t=250</t>
  </si>
  <si>
    <t>t=300</t>
  </si>
  <si>
    <t>t=350</t>
  </si>
  <si>
    <t>t=400</t>
  </si>
  <si>
    <t>t=450</t>
  </si>
  <si>
    <t>cond_noise</t>
  </si>
  <si>
    <t>cond_rec</t>
  </si>
  <si>
    <t>cond_rec_score_stopgrad</t>
  </si>
  <si>
    <t>cond_rec_score_strict_smoke</t>
  </si>
  <si>
    <t>strict_smoke_lr2e-5</t>
  </si>
  <si>
    <t>strict_warm_lr2e-5_ls1e-3</t>
  </si>
  <si>
    <t>t</t>
  </si>
  <si>
    <t>Rec MSE</t>
  </si>
  <si>
    <t>Rec FID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</si>
</sst>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#,##0.000000"/>
    <numFmt numFmtId="165" formatCode="#,##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a6a6a6"/>
      <name val="宋体"/>
      <family val="2"/>
    </font>
    <font>
      <b/>
      <sz val="12"/>
      <color rgb="FF000000"/>
      <name val="等线"/>
      <family val="2"/>
    </font>
    <font>
      <sz val="12"/>
      <color rgb="FF000000"/>
      <name val="等线"/>
      <family val="2"/>
    </font>
    <font>
      <sz val="12"/>
      <color theme="1"/>
      <name val="等线"/>
      <family val="2"/>
    </font>
    <font>
      <sz val="12"/>
      <color rgb="FF091316"/>
      <name val="等线"/>
      <family val="2"/>
    </font>
    <font>
      <b/>
      <sz val="12"/>
      <color theme="1"/>
      <name val="等线"/>
      <family val="2"/>
    </font>
    <font>
      <b/>
      <sz val="11"/>
      <color rgb="FF000000"/>
      <name val="宋体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5">
    <xf xfId="0" numFmtId="0" borderId="0" fontId="0" fillId="0"/>
    <xf xfId="0" numFmtId="0" borderId="0" fontId="0" fillId="0" applyAlignment="1">
      <alignment horizontal="general"/>
    </xf>
    <xf xfId="0" numFmtId="16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164" applyNumberFormat="1" borderId="1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4" applyNumberFormat="1" borderId="1" applyBorder="1" fontId="2" applyFont="1" fillId="0" applyAlignment="1">
      <alignment horizontal="center"/>
    </xf>
    <xf xfId="0" numFmtId="16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center"/>
    </xf>
    <xf xfId="0" numFmtId="4" applyNumberFormat="1" borderId="1" applyBorder="1" fontId="1" applyFont="1" fillId="0" applyAlignment="1">
      <alignment horizontal="right"/>
    </xf>
    <xf xfId="0" numFmtId="0" borderId="1" applyBorder="1" fontId="3" applyFont="1" fillId="0" applyAlignment="1">
      <alignment horizontal="center"/>
    </xf>
    <xf xfId="0" numFmtId="0" borderId="1" applyBorder="1" fontId="4" applyFont="1" fillId="0" applyAlignment="1">
      <alignment horizontal="center"/>
    </xf>
    <xf xfId="0" numFmtId="0" borderId="1" applyBorder="1" fontId="5" applyFont="1" fillId="0" applyAlignment="1">
      <alignment horizontal="center"/>
    </xf>
    <xf xfId="0" numFmtId="0" borderId="0" fontId="0" fillId="0" applyAlignment="1">
      <alignment horizontal="center"/>
    </xf>
    <xf xfId="0" numFmtId="0" borderId="1" applyBorder="1" fontId="4" applyFont="1" fillId="0" applyAlignment="1">
      <alignment horizontal="left"/>
    </xf>
    <xf xfId="0" numFmtId="4" applyNumberFormat="1" borderId="1" applyBorder="1" fontId="5" applyFont="1" fillId="0" applyAlignment="1">
      <alignment horizontal="center"/>
    </xf>
    <xf xfId="0" numFmtId="165" applyNumberFormat="1" borderId="1" applyBorder="1" fontId="5" applyFont="1" fillId="0" applyAlignment="1">
      <alignment horizontal="center"/>
    </xf>
    <xf xfId="0" numFmtId="4" applyNumberFormat="1" borderId="1" applyBorder="1" fontId="6" applyFont="1" fillId="0" applyAlignment="1">
      <alignment horizontal="center"/>
    </xf>
    <xf xfId="0" numFmtId="165" applyNumberFormat="1" borderId="1" applyBorder="1" fontId="6" applyFont="1" fillId="0" applyAlignment="1">
      <alignment horizontal="center"/>
    </xf>
    <xf xfId="0" numFmtId="0" borderId="0" fontId="0" fillId="0" applyAlignment="1">
      <alignment horizontal="center"/>
    </xf>
    <xf xfId="0" numFmtId="4" applyNumberFormat="1" borderId="1" applyBorder="1" fontId="4" applyFont="1" fillId="0" applyAlignment="1">
      <alignment horizontal="center"/>
    </xf>
    <xf xfId="0" numFmtId="165" applyNumberFormat="1" borderId="1" applyBorder="1" fontId="4" applyFont="1" fillId="0" applyAlignment="1">
      <alignment horizontal="center"/>
    </xf>
    <xf xfId="0" numFmtId="0" borderId="1" applyBorder="1" fontId="7" applyFont="1" fillId="0" applyAlignment="1">
      <alignment horizontal="center"/>
    </xf>
    <xf xfId="0" numFmtId="4" applyNumberFormat="1" borderId="1" applyBorder="1" fontId="7" applyFont="1" fillId="0" applyAlignment="1">
      <alignment horizontal="center"/>
    </xf>
    <xf xfId="0" numFmtId="0" borderId="1" applyBorder="1" fontId="8" applyFont="1" fillId="0" applyAlignment="1">
      <alignment horizontal="center"/>
    </xf>
    <xf xfId="0" numFmtId="165" applyNumberFormat="1" borderId="0" fontId="0" fillId="0" applyAlignment="1">
      <alignment horizontal="center"/>
    </xf>
    <xf xfId="0" numFmtId="0" borderId="0" fontId="0" fillId="0" applyAlignment="1">
      <alignment wrapText="1"/>
    </xf>
    <xf xfId="0" numFmtId="0" borderId="1" applyBorder="1" fontId="8" applyFont="1" fillId="0" applyAlignment="1">
      <alignment horizontal="center" wrapText="1"/>
    </xf>
    <xf xfId="0" numFmtId="4" applyNumberFormat="1" borderId="1" applyBorder="1" fontId="8" applyFont="1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4" applyNumberFormat="1" borderId="1" applyBorder="1" fontId="1" applyFont="1" fillId="0" applyAlignment="1">
      <alignment horizontal="center" wrapText="1"/>
    </xf>
    <xf xfId="0" numFmtId="0" borderId="0" fontId="0" fillId="0" applyAlignment="1">
      <alignment horizontal="center" wrapText="1"/>
    </xf>
    <xf xfId="0" numFmtId="4" applyNumberFormat="1" borderId="0" fontId="0" fillId="0" applyAlignment="1">
      <alignment horizontal="center" wrapText="1"/>
    </xf>
    <xf xfId="0" numFmtId="3" applyNumberFormat="1" borderId="1" applyBorder="1" fontId="8" applyFont="1" fillId="0" applyAlignment="1">
      <alignment horizontal="center" wrapText="1"/>
    </xf>
    <xf xfId="0" numFmtId="3" applyNumberFormat="1" borderId="1" applyBorder="1" fontId="1" applyFont="1" fillId="0" applyAlignment="1">
      <alignment horizontal="center" wrapText="1"/>
    </xf>
    <xf xfId="0" numFmtId="3" applyNumberFormat="1" borderId="0" fontId="0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sharedStrings.xml" Type="http://schemas.openxmlformats.org/officeDocument/2006/relationships/sharedStrings" Id="rId9"/><Relationship Target="styles.xml" Type="http://schemas.openxmlformats.org/officeDocument/2006/relationships/styles" Id="rId10"/><Relationship Target="theme/theme1.xml" Type="http://schemas.openxmlformats.org/officeDocument/2006/relationships/theme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4"/>
  <sheetViews>
    <sheetView workbookViewId="0"/>
  </sheetViews>
  <sheetFormatPr defaultRowHeight="15" x14ac:dyDescent="0.25"/>
  <cols>
    <col min="1" max="1" style="44" width="7.2907142857142855" customWidth="1" bestFit="1"/>
    <col min="2" max="2" style="40" width="33.29071428571429" customWidth="1" bestFit="1"/>
    <col min="3" max="3" style="41" width="15.147857142857141" customWidth="1" bestFit="1"/>
    <col min="4" max="4" style="41" width="15.147857142857141" customWidth="1" bestFit="1"/>
  </cols>
  <sheetData>
    <row x14ac:dyDescent="0.25" r="1" customHeight="1" ht="18.75" customFormat="1" s="35">
      <c r="A1" s="42" t="s">
        <v>62</v>
      </c>
      <c r="B1" s="36" t="s">
        <v>46</v>
      </c>
      <c r="C1" s="37" t="s">
        <v>63</v>
      </c>
      <c r="D1" s="37" t="s">
        <v>64</v>
      </c>
    </row>
    <row x14ac:dyDescent="0.25" r="2" customHeight="1" ht="18.75" customFormat="1" s="35">
      <c r="A2" s="43">
        <v>50</v>
      </c>
      <c r="B2" s="38" t="s">
        <v>56</v>
      </c>
      <c r="C2" s="39">
        <v>0.002326</v>
      </c>
      <c r="D2" s="39">
        <v>6.86</v>
      </c>
    </row>
    <row x14ac:dyDescent="0.25" r="3" customHeight="1" ht="18.75" customFormat="1" s="35">
      <c r="A3" s="43"/>
      <c r="B3" s="38" t="s">
        <v>57</v>
      </c>
      <c r="C3" s="39">
        <v>0.002425</v>
      </c>
      <c r="D3" s="39">
        <v>6.82</v>
      </c>
    </row>
    <row x14ac:dyDescent="0.25" r="4" customHeight="1" ht="18.75" customFormat="1" s="35">
      <c r="A4" s="43"/>
      <c r="B4" s="38" t="s">
        <v>58</v>
      </c>
      <c r="C4" s="39">
        <v>0.00253</v>
      </c>
      <c r="D4" s="39">
        <v>6.97</v>
      </c>
    </row>
    <row x14ac:dyDescent="0.25" r="5" customHeight="1" ht="18.75" customFormat="1" s="35">
      <c r="A5" s="43"/>
      <c r="B5" s="38" t="s">
        <v>59</v>
      </c>
      <c r="C5" s="39">
        <v>0.002643</v>
      </c>
      <c r="D5" s="39">
        <v>7.05</v>
      </c>
    </row>
    <row x14ac:dyDescent="0.25" r="6" customHeight="1" ht="18.75" customFormat="1" s="35">
      <c r="A6" s="43"/>
      <c r="B6" s="38" t="s">
        <v>61</v>
      </c>
      <c r="C6" s="39">
        <v>0.002383</v>
      </c>
      <c r="D6" s="39">
        <v>6.84</v>
      </c>
    </row>
    <row x14ac:dyDescent="0.25" r="7" customHeight="1" ht="18.75" customFormat="1" s="35">
      <c r="A7" s="42"/>
      <c r="B7" s="36"/>
      <c r="C7" s="37"/>
      <c r="D7" s="37"/>
    </row>
    <row x14ac:dyDescent="0.25" r="8" customHeight="1" ht="18.75" customFormat="1" s="35">
      <c r="A8" s="43">
        <v>100</v>
      </c>
      <c r="B8" s="38" t="s">
        <v>56</v>
      </c>
      <c r="C8" s="39">
        <v>0.002396</v>
      </c>
      <c r="D8" s="39">
        <v>6.9</v>
      </c>
    </row>
    <row x14ac:dyDescent="0.25" r="9" customHeight="1" ht="18.75" customFormat="1" s="35">
      <c r="A9" s="43"/>
      <c r="B9" s="38" t="s">
        <v>57</v>
      </c>
      <c r="C9" s="39">
        <v>0.002515</v>
      </c>
      <c r="D9" s="39">
        <v>6.98</v>
      </c>
    </row>
    <row x14ac:dyDescent="0.25" r="10" customHeight="1" ht="18.75" customFormat="1" s="35">
      <c r="A10" s="43"/>
      <c r="B10" s="38" t="s">
        <v>58</v>
      </c>
      <c r="C10" s="39">
        <v>0.002467</v>
      </c>
      <c r="D10" s="39">
        <v>6.94</v>
      </c>
    </row>
    <row x14ac:dyDescent="0.25" r="11" customHeight="1" ht="18.75" customFormat="1" s="35">
      <c r="A11" s="43"/>
      <c r="B11" s="38" t="s">
        <v>59</v>
      </c>
      <c r="C11" s="39">
        <v>0.007091</v>
      </c>
      <c r="D11" s="39">
        <v>6.97</v>
      </c>
    </row>
    <row x14ac:dyDescent="0.25" r="12" customHeight="1" ht="18.75" customFormat="1" s="35">
      <c r="A12" s="43"/>
      <c r="B12" s="38" t="s">
        <v>61</v>
      </c>
      <c r="C12" s="39">
        <v>0.00241</v>
      </c>
      <c r="D12" s="39">
        <v>6.78</v>
      </c>
    </row>
    <row x14ac:dyDescent="0.25" r="13" customHeight="1" ht="18.75" customFormat="1" s="35">
      <c r="A13" s="43"/>
      <c r="B13" s="38"/>
      <c r="C13" s="39"/>
      <c r="D13" s="39"/>
    </row>
    <row x14ac:dyDescent="0.25" r="14" customHeight="1" ht="18.75" customFormat="1" s="35">
      <c r="A14" s="43">
        <v>150</v>
      </c>
      <c r="B14" s="38" t="s">
        <v>56</v>
      </c>
      <c r="C14" s="39">
        <v>0.002519</v>
      </c>
      <c r="D14" s="39">
        <v>6.83</v>
      </c>
    </row>
    <row x14ac:dyDescent="0.25" r="15" customHeight="1" ht="18.75" customFormat="1" s="35">
      <c r="A15" s="43"/>
      <c r="B15" s="38" t="s">
        <v>57</v>
      </c>
      <c r="C15" s="39">
        <v>0.002743</v>
      </c>
      <c r="D15" s="39">
        <v>6.8</v>
      </c>
    </row>
    <row x14ac:dyDescent="0.25" r="16" customHeight="1" ht="18.75" customFormat="1" s="35">
      <c r="A16" s="43"/>
      <c r="B16" s="38" t="s">
        <v>58</v>
      </c>
      <c r="C16" s="39">
        <v>0.002455</v>
      </c>
      <c r="D16" s="39">
        <v>6.8</v>
      </c>
    </row>
    <row x14ac:dyDescent="0.25" r="17" customHeight="1" ht="18.75" customFormat="1" s="35">
      <c r="A17" s="43"/>
      <c r="B17" s="38" t="s">
        <v>59</v>
      </c>
      <c r="C17" s="39">
        <v>0.0097</v>
      </c>
      <c r="D17" s="39">
        <v>7.24</v>
      </c>
    </row>
    <row x14ac:dyDescent="0.25" r="18" customHeight="1" ht="18.75" customFormat="1" s="35">
      <c r="A18" s="43"/>
      <c r="B18" s="38" t="s">
        <v>61</v>
      </c>
      <c r="C18" s="39">
        <v>0.002479</v>
      </c>
      <c r="D18" s="39">
        <v>6.95</v>
      </c>
    </row>
    <row x14ac:dyDescent="0.25" r="19" customHeight="1" ht="18.75" customFormat="1" s="35">
      <c r="A19" s="43"/>
      <c r="B19" s="38"/>
      <c r="C19" s="39"/>
      <c r="D19" s="39"/>
    </row>
    <row x14ac:dyDescent="0.25" r="20" customHeight="1" ht="18.75" customFormat="1" s="35">
      <c r="A20" s="43">
        <v>200</v>
      </c>
      <c r="B20" s="38" t="s">
        <v>56</v>
      </c>
      <c r="C20" s="39">
        <v>0.002751</v>
      </c>
      <c r="D20" s="39">
        <v>7.07</v>
      </c>
    </row>
    <row x14ac:dyDescent="0.25" r="21" customHeight="1" ht="18.75" customFormat="1" s="35">
      <c r="A21" s="43"/>
      <c r="B21" s="38" t="s">
        <v>57</v>
      </c>
      <c r="C21" s="39">
        <v>0.002976</v>
      </c>
      <c r="D21" s="39">
        <v>6.85</v>
      </c>
    </row>
    <row x14ac:dyDescent="0.25" r="22" customHeight="1" ht="18.75" customFormat="1" s="35">
      <c r="A22" s="43"/>
      <c r="B22" s="38" t="s">
        <v>58</v>
      </c>
      <c r="C22" s="39">
        <v>0.00249</v>
      </c>
      <c r="D22" s="39">
        <v>6.99</v>
      </c>
    </row>
    <row x14ac:dyDescent="0.25" r="23" customHeight="1" ht="18.75" customFormat="1" s="35">
      <c r="A23" s="43"/>
      <c r="B23" s="38" t="s">
        <v>59</v>
      </c>
      <c r="C23" s="39">
        <v>0.013116</v>
      </c>
      <c r="D23" s="39">
        <v>7.53</v>
      </c>
    </row>
    <row x14ac:dyDescent="0.25" r="24" customHeight="1" ht="18.75" customFormat="1" s="35">
      <c r="A24" s="43"/>
      <c r="B24" s="38" t="s">
        <v>61</v>
      </c>
      <c r="C24" s="39">
        <v>0.002533</v>
      </c>
      <c r="D24" s="39">
        <v>6.98</v>
      </c>
    </row>
    <row x14ac:dyDescent="0.25" r="25" customHeight="1" ht="18.75" customFormat="1" s="35">
      <c r="A25" s="43"/>
      <c r="B25" s="38"/>
      <c r="C25" s="39"/>
      <c r="D25" s="39"/>
    </row>
    <row x14ac:dyDescent="0.25" r="26" customHeight="1" ht="18.75" customFormat="1" s="35">
      <c r="A26" s="43">
        <v>250</v>
      </c>
      <c r="B26" s="38" t="s">
        <v>56</v>
      </c>
      <c r="C26" s="39">
        <v>0.003239</v>
      </c>
      <c r="D26" s="39">
        <v>7.24</v>
      </c>
    </row>
    <row x14ac:dyDescent="0.25" r="27" customHeight="1" ht="18.75" customFormat="1" s="35">
      <c r="A27" s="43"/>
      <c r="B27" s="38" t="s">
        <v>57</v>
      </c>
      <c r="C27" s="39">
        <v>0.003358</v>
      </c>
      <c r="D27" s="39">
        <v>6.96</v>
      </c>
    </row>
    <row x14ac:dyDescent="0.25" r="28" customHeight="1" ht="18.75" customFormat="1" s="35">
      <c r="A28" s="43"/>
      <c r="B28" s="38" t="s">
        <v>58</v>
      </c>
      <c r="C28" s="39">
        <v>0.002623</v>
      </c>
      <c r="D28" s="39">
        <v>6.82</v>
      </c>
    </row>
    <row x14ac:dyDescent="0.25" r="29" customHeight="1" ht="18.75" customFormat="1" s="35">
      <c r="A29" s="43"/>
      <c r="B29" s="38" t="s">
        <v>59</v>
      </c>
      <c r="C29" s="39">
        <v>0.012075</v>
      </c>
      <c r="D29" s="39">
        <v>7.75</v>
      </c>
    </row>
    <row x14ac:dyDescent="0.25" r="30" customHeight="1" ht="18.75" customFormat="1" s="35">
      <c r="A30" s="43"/>
      <c r="B30" s="38" t="s">
        <v>61</v>
      </c>
      <c r="C30" s="39">
        <v>0.002589</v>
      </c>
      <c r="D30" s="39">
        <v>7.17</v>
      </c>
    </row>
    <row x14ac:dyDescent="0.25" r="31" customHeight="1" ht="18.75" customFormat="1" s="35">
      <c r="A31" s="43"/>
      <c r="B31" s="38"/>
      <c r="C31" s="39"/>
      <c r="D31" s="39"/>
    </row>
    <row x14ac:dyDescent="0.25" r="32" customHeight="1" ht="18.75" customFormat="1" s="35">
      <c r="A32" s="43">
        <v>300</v>
      </c>
      <c r="B32" s="38" t="s">
        <v>56</v>
      </c>
      <c r="C32" s="39">
        <v>0.003883</v>
      </c>
      <c r="D32" s="39">
        <v>7.8</v>
      </c>
    </row>
    <row x14ac:dyDescent="0.25" r="33" customHeight="1" ht="18.75" customFormat="1" s="35">
      <c r="A33" s="43"/>
      <c r="B33" s="38" t="s">
        <v>57</v>
      </c>
      <c r="C33" s="39">
        <v>0.003475</v>
      </c>
      <c r="D33" s="39">
        <v>7.25</v>
      </c>
    </row>
    <row x14ac:dyDescent="0.25" r="34" customHeight="1" ht="18.75" customFormat="1" s="35">
      <c r="A34" s="43"/>
      <c r="B34" s="38" t="s">
        <v>58</v>
      </c>
      <c r="C34" s="39">
        <v>0.002731</v>
      </c>
      <c r="D34" s="39">
        <v>7.22</v>
      </c>
    </row>
    <row x14ac:dyDescent="0.25" r="35" customHeight="1" ht="18.75" customFormat="1" s="35">
      <c r="A35" s="43"/>
      <c r="B35" s="38" t="s">
        <v>59</v>
      </c>
      <c r="C35" s="39">
        <v>0.009686</v>
      </c>
      <c r="D35" s="39">
        <v>8.19</v>
      </c>
    </row>
    <row x14ac:dyDescent="0.25" r="36" customHeight="1" ht="18.75" customFormat="1" s="35">
      <c r="A36" s="43"/>
      <c r="B36" s="38" t="s">
        <v>61</v>
      </c>
      <c r="C36" s="39">
        <v>0.002933</v>
      </c>
      <c r="D36" s="39">
        <v>7.1</v>
      </c>
    </row>
    <row x14ac:dyDescent="0.25" r="37" customHeight="1" ht="18.75" customFormat="1" s="35">
      <c r="A37" s="43"/>
      <c r="B37" s="38"/>
      <c r="C37" s="39"/>
      <c r="D37" s="39"/>
    </row>
    <row x14ac:dyDescent="0.25" r="38" customHeight="1" ht="18.75" customFormat="1" s="35">
      <c r="A38" s="43">
        <v>350</v>
      </c>
      <c r="B38" s="38" t="s">
        <v>56</v>
      </c>
      <c r="C38" s="39">
        <v>0.004807</v>
      </c>
      <c r="D38" s="39">
        <v>8.78</v>
      </c>
    </row>
    <row x14ac:dyDescent="0.25" r="39" customHeight="1" ht="18.75" customFormat="1" s="35">
      <c r="A39" s="43"/>
      <c r="B39" s="38" t="s">
        <v>57</v>
      </c>
      <c r="C39" s="39">
        <v>0.003933</v>
      </c>
      <c r="D39" s="39">
        <v>7.82</v>
      </c>
    </row>
    <row x14ac:dyDescent="0.25" r="40" customHeight="1" ht="18.75" customFormat="1" s="35">
      <c r="A40" s="43"/>
      <c r="B40" s="38" t="s">
        <v>58</v>
      </c>
      <c r="C40" s="39">
        <v>0.00311</v>
      </c>
      <c r="D40" s="39">
        <v>7.42</v>
      </c>
    </row>
    <row x14ac:dyDescent="0.25" r="41" customHeight="1" ht="18.75" customFormat="1" s="35">
      <c r="A41" s="43"/>
      <c r="B41" s="38" t="s">
        <v>59</v>
      </c>
      <c r="C41" s="39">
        <v>0.006595</v>
      </c>
      <c r="D41" s="39">
        <v>9.18</v>
      </c>
    </row>
    <row x14ac:dyDescent="0.25" r="42" customHeight="1" ht="18.75" customFormat="1" s="35">
      <c r="A42" s="43"/>
      <c r="B42" s="38" t="s">
        <v>61</v>
      </c>
      <c r="C42" s="39">
        <v>0.003373</v>
      </c>
      <c r="D42" s="39">
        <v>7.52</v>
      </c>
    </row>
    <row x14ac:dyDescent="0.25" r="43" customHeight="1" ht="18.75" customFormat="1" s="35">
      <c r="A43" s="43"/>
      <c r="B43" s="38"/>
      <c r="C43" s="39"/>
      <c r="D43" s="39"/>
    </row>
    <row x14ac:dyDescent="0.25" r="44" customHeight="1" ht="18.75" customFormat="1" s="35">
      <c r="A44" s="43">
        <v>400</v>
      </c>
      <c r="B44" s="38" t="s">
        <v>56</v>
      </c>
      <c r="C44" s="39">
        <v>0.007341</v>
      </c>
      <c r="D44" s="39">
        <v>10.9</v>
      </c>
    </row>
    <row x14ac:dyDescent="0.25" r="45" customHeight="1" ht="18.75" customFormat="1" s="35">
      <c r="A45" s="43"/>
      <c r="B45" s="38" t="s">
        <v>57</v>
      </c>
      <c r="C45" s="39">
        <v>0.005386</v>
      </c>
      <c r="D45" s="39">
        <v>9.43</v>
      </c>
    </row>
    <row x14ac:dyDescent="0.25" r="46" customHeight="1" ht="18.75" customFormat="1" s="35">
      <c r="A46" s="43"/>
      <c r="B46" s="38" t="s">
        <v>58</v>
      </c>
      <c r="C46" s="39">
        <v>0.003913</v>
      </c>
      <c r="D46" s="39">
        <v>8.07</v>
      </c>
    </row>
    <row x14ac:dyDescent="0.25" r="47" customHeight="1" ht="18.75" customFormat="1" s="35">
      <c r="A47" s="43"/>
      <c r="B47" s="38" t="s">
        <v>59</v>
      </c>
      <c r="C47" s="39">
        <v>0.007142</v>
      </c>
      <c r="D47" s="39">
        <v>12.73</v>
      </c>
    </row>
    <row x14ac:dyDescent="0.25" r="48" customHeight="1" ht="18.75" customFormat="1" s="35">
      <c r="A48" s="43"/>
      <c r="B48" s="38" t="s">
        <v>61</v>
      </c>
      <c r="C48" s="39">
        <v>0.004582</v>
      </c>
      <c r="D48" s="39">
        <v>8.67</v>
      </c>
    </row>
    <row x14ac:dyDescent="0.25" r="49" customHeight="1" ht="18.75" customFormat="1" s="35">
      <c r="A49" s="43"/>
      <c r="B49" s="38"/>
      <c r="C49" s="39"/>
      <c r="D49" s="39"/>
    </row>
    <row x14ac:dyDescent="0.25" r="50" customHeight="1" ht="18.75" customFormat="1" s="35">
      <c r="A50" s="43">
        <v>450</v>
      </c>
      <c r="B50" s="38" t="s">
        <v>56</v>
      </c>
      <c r="C50" s="39">
        <v>0.018778</v>
      </c>
      <c r="D50" s="39">
        <v>18.52</v>
      </c>
    </row>
    <row x14ac:dyDescent="0.25" r="51" customHeight="1" ht="18.75" customFormat="1" s="35">
      <c r="A51" s="43"/>
      <c r="B51" s="38" t="s">
        <v>57</v>
      </c>
      <c r="C51" s="39">
        <v>0.012266</v>
      </c>
      <c r="D51" s="39">
        <v>16.74</v>
      </c>
    </row>
    <row x14ac:dyDescent="0.25" r="52" customHeight="1" ht="18.75" customFormat="1" s="35">
      <c r="A52" s="43"/>
      <c r="B52" s="38" t="s">
        <v>58</v>
      </c>
      <c r="C52" s="39">
        <v>0.006583</v>
      </c>
      <c r="D52" s="39">
        <v>10.65</v>
      </c>
    </row>
    <row x14ac:dyDescent="0.25" r="53" customHeight="1" ht="18.75" customFormat="1" s="35">
      <c r="A53" s="43"/>
      <c r="B53" s="38" t="s">
        <v>59</v>
      </c>
      <c r="C53" s="39">
        <v>0.019135</v>
      </c>
      <c r="D53" s="39">
        <v>23.75</v>
      </c>
    </row>
    <row x14ac:dyDescent="0.25" r="54" customHeight="1" ht="18.75" customFormat="1" s="35">
      <c r="A54" s="43"/>
      <c r="B54" s="38" t="s">
        <v>61</v>
      </c>
      <c r="C54" s="39">
        <v>0.008533</v>
      </c>
      <c r="D54" s="39">
        <v>12.22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7"/>
  <sheetViews>
    <sheetView workbookViewId="0"/>
  </sheetViews>
  <sheetFormatPr defaultRowHeight="15" x14ac:dyDescent="0.25"/>
  <cols>
    <col min="1" max="1" style="40" width="29.576428571428572" customWidth="1" bestFit="1"/>
    <col min="2" max="2" style="41" width="9.147857142857141" customWidth="1" bestFit="1"/>
    <col min="3" max="3" style="41" width="9.147857142857141" customWidth="1" bestFit="1"/>
    <col min="4" max="4" style="41" width="9.147857142857141" customWidth="1" bestFit="1"/>
    <col min="5" max="5" style="41" width="9.147857142857141" customWidth="1" bestFit="1"/>
    <col min="6" max="6" style="41" width="9.147857142857141" customWidth="1" bestFit="1"/>
    <col min="7" max="7" style="41" width="9.147857142857141" customWidth="1" bestFit="1"/>
    <col min="8" max="8" style="41" width="9.147857142857141" customWidth="1" bestFit="1"/>
    <col min="9" max="9" style="41" width="9.147857142857141" customWidth="1" bestFit="1"/>
    <col min="10" max="10" style="41" width="9.147857142857141" customWidth="1" bestFit="1"/>
  </cols>
  <sheetData>
    <row x14ac:dyDescent="0.25" r="1" customHeight="1" ht="18.75" customFormat="1" s="35">
      <c r="A1" s="36" t="s">
        <v>46</v>
      </c>
      <c r="B1" s="37" t="s">
        <v>47</v>
      </c>
      <c r="C1" s="37" t="s">
        <v>48</v>
      </c>
      <c r="D1" s="37" t="s">
        <v>49</v>
      </c>
      <c r="E1" s="37" t="s">
        <v>50</v>
      </c>
      <c r="F1" s="37" t="s">
        <v>51</v>
      </c>
      <c r="G1" s="37" t="s">
        <v>52</v>
      </c>
      <c r="H1" s="37" t="s">
        <v>53</v>
      </c>
      <c r="I1" s="37" t="s">
        <v>54</v>
      </c>
      <c r="J1" s="37" t="s">
        <v>55</v>
      </c>
    </row>
    <row x14ac:dyDescent="0.25" r="2" customHeight="1" ht="18.75" customFormat="1" s="35">
      <c r="A2" s="38" t="s">
        <v>56</v>
      </c>
      <c r="B2" s="39">
        <v>0.002326</v>
      </c>
      <c r="C2" s="39">
        <v>0.002396</v>
      </c>
      <c r="D2" s="39">
        <v>0.002519</v>
      </c>
      <c r="E2" s="39">
        <v>0.002751</v>
      </c>
      <c r="F2" s="39">
        <v>0.003239</v>
      </c>
      <c r="G2" s="39">
        <v>0.003883</v>
      </c>
      <c r="H2" s="39">
        <v>0.004807</v>
      </c>
      <c r="I2" s="39">
        <v>0.007341</v>
      </c>
      <c r="J2" s="39">
        <v>0.018778</v>
      </c>
    </row>
    <row x14ac:dyDescent="0.25" r="3" customHeight="1" ht="18.75" customFormat="1" s="35">
      <c r="A3" s="38" t="s">
        <v>57</v>
      </c>
      <c r="B3" s="39">
        <v>0.002425</v>
      </c>
      <c r="C3" s="39">
        <v>0.002515</v>
      </c>
      <c r="D3" s="39">
        <v>0.002743</v>
      </c>
      <c r="E3" s="39">
        <v>0.002976</v>
      </c>
      <c r="F3" s="39">
        <v>0.003358</v>
      </c>
      <c r="G3" s="39">
        <v>0.003475</v>
      </c>
      <c r="H3" s="39">
        <v>0.003933</v>
      </c>
      <c r="I3" s="39">
        <v>0.005386</v>
      </c>
      <c r="J3" s="39">
        <v>0.012266</v>
      </c>
    </row>
    <row x14ac:dyDescent="0.25" r="4" customHeight="1" ht="18.75" customFormat="1" s="35">
      <c r="A4" s="38" t="s">
        <v>58</v>
      </c>
      <c r="B4" s="39">
        <v>0.00253</v>
      </c>
      <c r="C4" s="39">
        <v>0.002467</v>
      </c>
      <c r="D4" s="39">
        <v>0.002455</v>
      </c>
      <c r="E4" s="39">
        <v>0.00249</v>
      </c>
      <c r="F4" s="39">
        <v>0.002623</v>
      </c>
      <c r="G4" s="39">
        <v>0.002731</v>
      </c>
      <c r="H4" s="39">
        <v>0.00311</v>
      </c>
      <c r="I4" s="39">
        <v>0.003913</v>
      </c>
      <c r="J4" s="39">
        <v>0.006583</v>
      </c>
    </row>
    <row x14ac:dyDescent="0.25" r="5" customHeight="1" ht="18.75" customFormat="1" s="35">
      <c r="A5" s="38" t="s">
        <v>59</v>
      </c>
      <c r="B5" s="39">
        <v>0.002643</v>
      </c>
      <c r="C5" s="39">
        <v>0.007091</v>
      </c>
      <c r="D5" s="39">
        <v>0.0097</v>
      </c>
      <c r="E5" s="39">
        <v>0.013116</v>
      </c>
      <c r="F5" s="39">
        <v>0.012075</v>
      </c>
      <c r="G5" s="39">
        <v>0.009686</v>
      </c>
      <c r="H5" s="39">
        <v>0.006595</v>
      </c>
      <c r="I5" s="39">
        <v>0.007142</v>
      </c>
      <c r="J5" s="39">
        <v>0.019135</v>
      </c>
    </row>
    <row x14ac:dyDescent="0.25" r="6" customHeight="1" ht="18.75" customFormat="1" s="35">
      <c r="A6" s="38" t="s">
        <v>60</v>
      </c>
      <c r="B6" s="39">
        <v>0.002382</v>
      </c>
      <c r="C6" s="39">
        <v>0.002455</v>
      </c>
      <c r="D6" s="39">
        <v>0.002581</v>
      </c>
      <c r="E6" s="39">
        <v>0.002744</v>
      </c>
      <c r="F6" s="39">
        <v>0.00304</v>
      </c>
      <c r="G6" s="39">
        <v>0.003864</v>
      </c>
      <c r="H6" s="39">
        <v>0.005191</v>
      </c>
      <c r="I6" s="39">
        <v>0.007939</v>
      </c>
      <c r="J6" s="39">
        <v>0.01806</v>
      </c>
    </row>
    <row x14ac:dyDescent="0.25" r="7" customHeight="1" ht="18.75" customFormat="1" s="35">
      <c r="A7" s="38" t="s">
        <v>61</v>
      </c>
      <c r="B7" s="39">
        <v>0.002383</v>
      </c>
      <c r="C7" s="39">
        <v>0.00241</v>
      </c>
      <c r="D7" s="39">
        <v>0.002479</v>
      </c>
      <c r="E7" s="39">
        <v>0.002533</v>
      </c>
      <c r="F7" s="39">
        <v>0.002589</v>
      </c>
      <c r="G7" s="39">
        <v>0.002933</v>
      </c>
      <c r="H7" s="39">
        <v>0.003373</v>
      </c>
      <c r="I7" s="39">
        <v>0.004582</v>
      </c>
      <c r="J7" s="39">
        <v>0.008533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7"/>
  <sheetViews>
    <sheetView workbookViewId="0"/>
  </sheetViews>
  <sheetFormatPr defaultRowHeight="15" x14ac:dyDescent="0.25"/>
  <cols>
    <col min="1" max="1" style="40" width="29.576428571428572" customWidth="1" bestFit="1"/>
    <col min="2" max="2" style="41" width="9.147857142857141" customWidth="1" bestFit="1"/>
    <col min="3" max="3" style="41" width="9.147857142857141" customWidth="1" bestFit="1"/>
    <col min="4" max="4" style="41" width="9.147857142857141" customWidth="1" bestFit="1"/>
    <col min="5" max="5" style="41" width="9.147857142857141" customWidth="1" bestFit="1"/>
    <col min="6" max="6" style="41" width="9.147857142857141" customWidth="1" bestFit="1"/>
    <col min="7" max="7" style="41" width="9.147857142857141" customWidth="1" bestFit="1"/>
    <col min="8" max="8" style="41" width="9.147857142857141" customWidth="1" bestFit="1"/>
    <col min="9" max="9" style="41" width="9.147857142857141" customWidth="1" bestFit="1"/>
    <col min="10" max="10" style="41" width="9.147857142857141" customWidth="1" bestFit="1"/>
  </cols>
  <sheetData>
    <row x14ac:dyDescent="0.25" r="1" customHeight="1" ht="18.75" customFormat="1" s="35">
      <c r="A1" s="36" t="s">
        <v>46</v>
      </c>
      <c r="B1" s="37" t="s">
        <v>47</v>
      </c>
      <c r="C1" s="37" t="s">
        <v>48</v>
      </c>
      <c r="D1" s="37" t="s">
        <v>49</v>
      </c>
      <c r="E1" s="37" t="s">
        <v>50</v>
      </c>
      <c r="F1" s="37" t="s">
        <v>51</v>
      </c>
      <c r="G1" s="37" t="s">
        <v>52</v>
      </c>
      <c r="H1" s="37" t="s">
        <v>53</v>
      </c>
      <c r="I1" s="37" t="s">
        <v>54</v>
      </c>
      <c r="J1" s="37" t="s">
        <v>55</v>
      </c>
    </row>
    <row x14ac:dyDescent="0.25" r="2" customHeight="1" ht="18.75" customFormat="1" s="35">
      <c r="A2" s="38" t="s">
        <v>56</v>
      </c>
      <c r="B2" s="39">
        <v>6.86</v>
      </c>
      <c r="C2" s="39">
        <v>6.9</v>
      </c>
      <c r="D2" s="39">
        <v>6.83</v>
      </c>
      <c r="E2" s="39">
        <v>7.07</v>
      </c>
      <c r="F2" s="39">
        <v>7.24</v>
      </c>
      <c r="G2" s="39">
        <v>7.8</v>
      </c>
      <c r="H2" s="39">
        <v>8.78</v>
      </c>
      <c r="I2" s="39">
        <v>10.9</v>
      </c>
      <c r="J2" s="39">
        <v>18.52</v>
      </c>
    </row>
    <row x14ac:dyDescent="0.25" r="3" customHeight="1" ht="18.75" customFormat="1" s="35">
      <c r="A3" s="38" t="s">
        <v>57</v>
      </c>
      <c r="B3" s="39">
        <v>6.82</v>
      </c>
      <c r="C3" s="39">
        <v>6.98</v>
      </c>
      <c r="D3" s="39">
        <v>6.8</v>
      </c>
      <c r="E3" s="39">
        <v>6.85</v>
      </c>
      <c r="F3" s="39">
        <v>6.96</v>
      </c>
      <c r="G3" s="39">
        <v>7.25</v>
      </c>
      <c r="H3" s="39">
        <v>7.82</v>
      </c>
      <c r="I3" s="39">
        <v>9.43</v>
      </c>
      <c r="J3" s="39">
        <v>16.74</v>
      </c>
    </row>
    <row x14ac:dyDescent="0.25" r="4" customHeight="1" ht="18.75" customFormat="1" s="35">
      <c r="A4" s="38" t="s">
        <v>58</v>
      </c>
      <c r="B4" s="39">
        <v>6.97</v>
      </c>
      <c r="C4" s="39">
        <v>6.94</v>
      </c>
      <c r="D4" s="39">
        <v>6.8</v>
      </c>
      <c r="E4" s="39">
        <v>6.99</v>
      </c>
      <c r="F4" s="39">
        <v>6.82</v>
      </c>
      <c r="G4" s="39">
        <v>7.22</v>
      </c>
      <c r="H4" s="39">
        <v>7.42</v>
      </c>
      <c r="I4" s="39">
        <v>8.07</v>
      </c>
      <c r="J4" s="39">
        <v>10.65</v>
      </c>
    </row>
    <row x14ac:dyDescent="0.25" r="5" customHeight="1" ht="18.75" customFormat="1" s="35">
      <c r="A5" s="38" t="s">
        <v>59</v>
      </c>
      <c r="B5" s="39">
        <v>7.05</v>
      </c>
      <c r="C5" s="39">
        <v>6.97</v>
      </c>
      <c r="D5" s="39">
        <v>7.24</v>
      </c>
      <c r="E5" s="39">
        <v>7.53</v>
      </c>
      <c r="F5" s="39">
        <v>7.75</v>
      </c>
      <c r="G5" s="39">
        <v>8.19</v>
      </c>
      <c r="H5" s="39">
        <v>9.18</v>
      </c>
      <c r="I5" s="39">
        <v>12.73</v>
      </c>
      <c r="J5" s="39">
        <v>23.75</v>
      </c>
    </row>
    <row x14ac:dyDescent="0.25" r="6" customHeight="1" ht="18.75" customFormat="1" s="35">
      <c r="A6" s="38" t="s">
        <v>60</v>
      </c>
      <c r="B6" s="39">
        <v>6.82</v>
      </c>
      <c r="C6" s="39">
        <v>6.87</v>
      </c>
      <c r="D6" s="39">
        <v>6.92</v>
      </c>
      <c r="E6" s="39">
        <v>7.06</v>
      </c>
      <c r="F6" s="39">
        <v>7.11</v>
      </c>
      <c r="G6" s="39">
        <v>7.63</v>
      </c>
      <c r="H6" s="39">
        <v>8.45</v>
      </c>
      <c r="I6" s="39">
        <v>10.92</v>
      </c>
      <c r="J6" s="39">
        <v>19.51</v>
      </c>
    </row>
    <row x14ac:dyDescent="0.25" r="7" customHeight="1" ht="18.75" customFormat="1" s="35">
      <c r="A7" s="38" t="s">
        <v>61</v>
      </c>
      <c r="B7" s="39">
        <v>6.84</v>
      </c>
      <c r="C7" s="39">
        <v>6.78</v>
      </c>
      <c r="D7" s="39">
        <v>6.95</v>
      </c>
      <c r="E7" s="39">
        <v>6.98</v>
      </c>
      <c r="F7" s="39">
        <v>7.17</v>
      </c>
      <c r="G7" s="39">
        <v>7.1</v>
      </c>
      <c r="H7" s="39">
        <v>7.52</v>
      </c>
      <c r="I7" s="39">
        <v>8.67</v>
      </c>
      <c r="J7" s="39">
        <v>12.22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2"/>
  <sheetViews>
    <sheetView workbookViewId="0" tabSelected="1"/>
  </sheetViews>
  <sheetFormatPr defaultRowHeight="15" x14ac:dyDescent="0.25"/>
  <cols>
    <col min="1" max="1" style="28" width="13.576428571428572" customWidth="1" bestFit="1"/>
    <col min="2" max="2" style="28" width="13.576428571428572" customWidth="1" bestFit="1"/>
    <col min="3" max="3" style="17" width="13.576428571428572" customWidth="1" bestFit="1"/>
    <col min="4" max="4" style="28" width="13.576428571428572" customWidth="1" bestFit="1"/>
    <col min="5" max="5" style="17" width="13.576428571428572" customWidth="1" bestFit="1"/>
    <col min="6" max="6" style="28" width="13.576428571428572" customWidth="1" bestFit="1"/>
    <col min="7" max="7" style="34" width="13.576428571428572" customWidth="1" bestFit="1"/>
    <col min="8" max="8" style="28" width="13.576428571428572" customWidth="1" bestFit="1"/>
    <col min="9" max="9" style="34" width="13.576428571428572" customWidth="1" bestFit="1"/>
    <col min="10" max="10" style="28" width="13.576428571428572" customWidth="1" bestFit="1"/>
    <col min="11" max="11" style="34" width="13.576428571428572" customWidth="1" bestFit="1"/>
    <col min="12" max="12" style="28" width="13.576428571428572" customWidth="1" bestFit="1"/>
  </cols>
  <sheetData>
    <row x14ac:dyDescent="0.25" r="1" customHeight="1" ht="18.75">
      <c r="A1" s="20"/>
      <c r="B1" s="20"/>
      <c r="C1" s="29" t="s">
        <v>12</v>
      </c>
      <c r="D1" s="20"/>
      <c r="E1" s="29" t="s">
        <v>13</v>
      </c>
      <c r="F1" s="20"/>
      <c r="G1" s="30" t="s">
        <v>14</v>
      </c>
      <c r="H1" s="20"/>
      <c r="I1" s="30" t="s">
        <v>15</v>
      </c>
      <c r="J1" s="20"/>
      <c r="K1" s="30" t="s">
        <v>16</v>
      </c>
      <c r="L1" s="5"/>
    </row>
    <row x14ac:dyDescent="0.25" r="2" customHeight="1" ht="18.75">
      <c r="A2" s="20" t="s">
        <v>17</v>
      </c>
      <c r="B2" s="21" t="s">
        <v>30</v>
      </c>
      <c r="C2" s="24">
        <v>34.64</v>
      </c>
      <c r="D2" s="21" t="s">
        <v>30</v>
      </c>
      <c r="E2" s="24">
        <v>55.81</v>
      </c>
      <c r="F2" s="21" t="s">
        <v>31</v>
      </c>
      <c r="G2" s="24">
        <v>210.9</v>
      </c>
      <c r="H2" s="21" t="s">
        <v>31</v>
      </c>
      <c r="I2" s="24">
        <v>190.7</v>
      </c>
      <c r="J2" s="21" t="s">
        <v>32</v>
      </c>
      <c r="K2" s="24">
        <v>252.5</v>
      </c>
      <c r="L2" s="21" t="s">
        <v>18</v>
      </c>
    </row>
    <row x14ac:dyDescent="0.25" r="3" customHeight="1" ht="18.75">
      <c r="A3" s="20" t="s">
        <v>19</v>
      </c>
      <c r="B3" s="21" t="s">
        <v>30</v>
      </c>
      <c r="C3" s="24">
        <v>35.42</v>
      </c>
      <c r="D3" s="21"/>
      <c r="E3" s="24"/>
      <c r="F3" s="21"/>
      <c r="G3" s="25"/>
      <c r="H3" s="21"/>
      <c r="I3" s="25"/>
      <c r="J3" s="21"/>
      <c r="K3" s="25"/>
      <c r="L3" s="20" t="s">
        <v>20</v>
      </c>
    </row>
    <row x14ac:dyDescent="0.25" r="4" customHeight="1" ht="18.75">
      <c r="A4" s="20" t="s">
        <v>9</v>
      </c>
      <c r="B4" s="21" t="s">
        <v>30</v>
      </c>
      <c r="C4" s="24">
        <v>49.29</v>
      </c>
      <c r="D4" s="21" t="s">
        <v>30</v>
      </c>
      <c r="E4" s="24">
        <v>70.59</v>
      </c>
      <c r="F4" s="21" t="s">
        <v>31</v>
      </c>
      <c r="G4" s="24">
        <v>221.6</v>
      </c>
      <c r="H4" s="21" t="s">
        <v>31</v>
      </c>
      <c r="I4" s="24">
        <v>202.3</v>
      </c>
      <c r="J4" s="21" t="s">
        <v>32</v>
      </c>
      <c r="K4" s="24">
        <v>260.2</v>
      </c>
      <c r="L4" s="5"/>
    </row>
    <row x14ac:dyDescent="0.25" r="5" customHeight="1" ht="18.75">
      <c r="A5" s="20" t="s">
        <v>10</v>
      </c>
      <c r="B5" s="21" t="s">
        <v>30</v>
      </c>
      <c r="C5" s="24">
        <v>60.05</v>
      </c>
      <c r="D5" s="21" t="s">
        <v>31</v>
      </c>
      <c r="E5" s="24">
        <v>88.97</v>
      </c>
      <c r="F5" s="21" t="s">
        <v>31</v>
      </c>
      <c r="G5" s="24">
        <v>247.8</v>
      </c>
      <c r="H5" s="21" t="s">
        <v>31</v>
      </c>
      <c r="I5" s="24">
        <v>221.8</v>
      </c>
      <c r="J5" s="21" t="s">
        <v>33</v>
      </c>
      <c r="K5" s="24">
        <v>262.8</v>
      </c>
      <c r="L5" s="20" t="s">
        <v>21</v>
      </c>
    </row>
    <row x14ac:dyDescent="0.25" r="6" customHeight="1" ht="18.75">
      <c r="A6" s="19" t="s">
        <v>22</v>
      </c>
      <c r="B6" s="31" t="s">
        <v>30</v>
      </c>
      <c r="C6" s="32">
        <v>46.89</v>
      </c>
      <c r="D6" s="31" t="s">
        <v>30</v>
      </c>
      <c r="E6" s="32">
        <v>68.39</v>
      </c>
      <c r="F6" s="31" t="s">
        <v>30</v>
      </c>
      <c r="G6" s="32">
        <v>220.8</v>
      </c>
      <c r="H6" s="31" t="s">
        <v>30</v>
      </c>
      <c r="I6" s="32">
        <v>197.5</v>
      </c>
      <c r="J6" s="31" t="s">
        <v>33</v>
      </c>
      <c r="K6" s="32">
        <v>257.3</v>
      </c>
      <c r="L6" s="33"/>
    </row>
    <row x14ac:dyDescent="0.25" r="7" customHeight="1" ht="18.75">
      <c r="A7" s="20" t="s">
        <v>23</v>
      </c>
      <c r="B7" s="21" t="s">
        <v>30</v>
      </c>
      <c r="C7" s="24">
        <v>61.23</v>
      </c>
      <c r="D7" s="21" t="s">
        <v>30</v>
      </c>
      <c r="E7" s="24">
        <v>80.69</v>
      </c>
      <c r="F7" s="21" t="s">
        <v>30</v>
      </c>
      <c r="G7" s="24">
        <v>218.5</v>
      </c>
      <c r="H7" s="21" t="s">
        <v>30</v>
      </c>
      <c r="I7" s="24">
        <v>197.8</v>
      </c>
      <c r="J7" s="21" t="s">
        <v>33</v>
      </c>
      <c r="K7" s="24">
        <v>327.1</v>
      </c>
      <c r="L7" s="5"/>
    </row>
    <row x14ac:dyDescent="0.25" r="8" customHeight="1" ht="18.75">
      <c r="A8" s="23"/>
      <c r="B8" s="20"/>
      <c r="C8" s="29"/>
      <c r="D8" s="20"/>
      <c r="E8" s="29"/>
      <c r="F8" s="20"/>
      <c r="G8" s="30"/>
      <c r="H8" s="20"/>
      <c r="I8" s="30"/>
      <c r="J8" s="20"/>
      <c r="K8" s="30"/>
      <c r="L8" s="5"/>
    </row>
    <row x14ac:dyDescent="0.25" r="9" customHeight="1" ht="18.75">
      <c r="A9" s="20" t="s">
        <v>24</v>
      </c>
      <c r="B9" s="20"/>
      <c r="C9" s="24">
        <v>47.85</v>
      </c>
      <c r="D9" s="20"/>
      <c r="E9" s="24">
        <v>70.4991</v>
      </c>
      <c r="F9" s="20"/>
      <c r="G9" s="25">
        <v>225.8906</v>
      </c>
      <c r="H9" s="20"/>
      <c r="I9" s="25">
        <v>208.4216</v>
      </c>
      <c r="J9" s="20"/>
      <c r="K9" s="25">
        <v>257.619</v>
      </c>
      <c r="L9" s="5"/>
    </row>
    <row x14ac:dyDescent="0.25" r="10" customHeight="1" ht="18.75">
      <c r="A10" s="20" t="s">
        <v>25</v>
      </c>
      <c r="B10" s="20" t="s">
        <v>34</v>
      </c>
      <c r="C10" s="26">
        <v>50.301</v>
      </c>
      <c r="D10" s="20" t="s">
        <v>35</v>
      </c>
      <c r="E10" s="26">
        <v>72.9617</v>
      </c>
      <c r="F10" s="20" t="s">
        <v>36</v>
      </c>
      <c r="G10" s="27">
        <v>213.7153</v>
      </c>
      <c r="H10" s="20" t="s">
        <v>37</v>
      </c>
      <c r="I10" s="27">
        <v>200.798</v>
      </c>
      <c r="J10" s="20" t="s">
        <v>38</v>
      </c>
      <c r="K10" s="27">
        <v>260.3877</v>
      </c>
      <c r="L10" s="20" t="s">
        <v>26</v>
      </c>
    </row>
    <row x14ac:dyDescent="0.25" r="11" customHeight="1" ht="18.75">
      <c r="A11" s="20" t="s">
        <v>27</v>
      </c>
      <c r="B11" s="20" t="s">
        <v>39</v>
      </c>
      <c r="C11" s="26">
        <v>47.5636</v>
      </c>
      <c r="D11" s="20" t="s">
        <v>39</v>
      </c>
      <c r="E11" s="26">
        <v>71.0327</v>
      </c>
      <c r="F11" s="20" t="s">
        <v>40</v>
      </c>
      <c r="G11" s="27">
        <v>213.6673</v>
      </c>
      <c r="H11" s="20" t="s">
        <v>41</v>
      </c>
      <c r="I11" s="27">
        <v>196.463</v>
      </c>
      <c r="J11" s="20" t="s">
        <v>42</v>
      </c>
      <c r="K11" s="27">
        <v>261.6927</v>
      </c>
      <c r="L11" s="20" t="s">
        <v>28</v>
      </c>
    </row>
    <row x14ac:dyDescent="0.25" r="12" customHeight="1" ht="18.75">
      <c r="A12" s="20" t="s">
        <v>29</v>
      </c>
      <c r="B12" s="20" t="s">
        <v>43</v>
      </c>
      <c r="C12" s="24">
        <v>50.8038</v>
      </c>
      <c r="D12" s="20" t="s">
        <v>44</v>
      </c>
      <c r="E12" s="24">
        <v>74.9537</v>
      </c>
      <c r="F12" s="20" t="s">
        <v>44</v>
      </c>
      <c r="G12" s="25">
        <v>225.8597</v>
      </c>
      <c r="H12" s="20" t="s">
        <v>43</v>
      </c>
      <c r="I12" s="25">
        <v>210.229</v>
      </c>
      <c r="J12" s="20" t="s">
        <v>45</v>
      </c>
      <c r="K12" s="25">
        <v>259.0366</v>
      </c>
      <c r="L12" s="20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12"/>
  <sheetViews>
    <sheetView workbookViewId="0"/>
  </sheetViews>
  <sheetFormatPr defaultRowHeight="15" x14ac:dyDescent="0.25"/>
  <cols>
    <col min="1" max="1" style="28" width="13.576428571428572" customWidth="1" bestFit="1"/>
    <col min="2" max="2" style="28" width="13.576428571428572" customWidth="1" bestFit="1"/>
    <col min="3" max="3" style="28" width="13.576428571428572" customWidth="1" bestFit="1"/>
    <col min="4" max="4" style="28" width="13.576428571428572" customWidth="1" bestFit="1"/>
    <col min="5" max="5" style="28" width="13.576428571428572" customWidth="1" bestFit="1"/>
    <col min="6" max="6" style="28" width="13.576428571428572" customWidth="1" bestFit="1"/>
    <col min="7" max="7" style="28" width="13.576428571428572" customWidth="1" bestFit="1"/>
    <col min="8" max="8" style="28" width="13.576428571428572" customWidth="1" bestFit="1"/>
    <col min="9" max="9" style="28" width="13.576428571428572" customWidth="1" bestFit="1"/>
    <col min="10" max="10" style="28" width="13.576428571428572" customWidth="1" bestFit="1"/>
    <col min="11" max="11" style="28" width="13.576428571428572" customWidth="1" bestFit="1"/>
    <col min="12" max="12" style="28" width="13.576428571428572" customWidth="1" bestFit="1"/>
    <col min="13" max="13" style="28" width="13.576428571428572" customWidth="1" bestFit="1"/>
    <col min="14" max="14" style="28" width="13.576428571428572" customWidth="1" bestFit="1"/>
    <col min="15" max="15" style="28" width="13.576428571428572" customWidth="1" bestFit="1"/>
    <col min="16" max="16" style="28" width="13.576428571428572" customWidth="1" bestFit="1"/>
    <col min="17" max="17" style="28" width="13.576428571428572" customWidth="1" bestFit="1"/>
    <col min="18" max="18" style="28" width="13.576428571428572" customWidth="1" bestFit="1"/>
  </cols>
  <sheetData>
    <row x14ac:dyDescent="0.25" r="1" customHeight="1" ht="18.75">
      <c r="A1" s="19" t="s">
        <v>11</v>
      </c>
      <c r="B1" s="20"/>
      <c r="C1" s="20" t="s">
        <v>12</v>
      </c>
      <c r="D1" s="20"/>
      <c r="E1" s="20" t="s">
        <v>13</v>
      </c>
      <c r="F1" s="20"/>
      <c r="G1" s="20" t="s">
        <v>14</v>
      </c>
      <c r="H1" s="20"/>
      <c r="I1" s="20" t="s">
        <v>15</v>
      </c>
      <c r="J1" s="20"/>
      <c r="K1" s="20" t="s">
        <v>16</v>
      </c>
      <c r="L1" s="5"/>
      <c r="M1" s="5"/>
      <c r="N1" s="5"/>
      <c r="O1" s="5"/>
      <c r="P1" s="5"/>
      <c r="Q1" s="5"/>
      <c r="R1" s="5"/>
    </row>
    <row x14ac:dyDescent="0.25" r="2" customHeight="1" ht="18.75">
      <c r="A2" s="20" t="s">
        <v>17</v>
      </c>
      <c r="B2" s="21"/>
      <c r="C2" s="21"/>
      <c r="D2" s="21"/>
      <c r="E2" s="21"/>
      <c r="F2" s="21"/>
      <c r="G2" s="22"/>
      <c r="H2" s="21"/>
      <c r="I2" s="21"/>
      <c r="J2" s="21"/>
      <c r="K2" s="21"/>
      <c r="L2" s="21" t="s">
        <v>18</v>
      </c>
      <c r="M2" s="5"/>
      <c r="N2" s="5"/>
      <c r="O2" s="5"/>
      <c r="P2" s="5"/>
      <c r="Q2" s="5"/>
      <c r="R2" s="5"/>
    </row>
    <row x14ac:dyDescent="0.25" r="3" customHeight="1" ht="18.75">
      <c r="A3" s="20" t="s">
        <v>19</v>
      </c>
      <c r="B3" s="21"/>
      <c r="C3" s="21"/>
      <c r="D3" s="21"/>
      <c r="E3" s="21"/>
      <c r="F3" s="21"/>
      <c r="G3" s="22"/>
      <c r="H3" s="21"/>
      <c r="I3" s="21"/>
      <c r="J3" s="21"/>
      <c r="K3" s="21"/>
      <c r="L3" s="20" t="s">
        <v>20</v>
      </c>
      <c r="M3" s="5"/>
      <c r="N3" s="5"/>
      <c r="O3" s="5"/>
      <c r="P3" s="5"/>
      <c r="Q3" s="5"/>
      <c r="R3" s="5"/>
    </row>
    <row x14ac:dyDescent="0.25" r="4" customHeight="1" ht="18.75">
      <c r="A4" s="20" t="s">
        <v>9</v>
      </c>
      <c r="B4" s="21"/>
      <c r="C4" s="21"/>
      <c r="D4" s="21"/>
      <c r="E4" s="21"/>
      <c r="F4" s="21"/>
      <c r="G4" s="22"/>
      <c r="H4" s="21"/>
      <c r="I4" s="21"/>
      <c r="J4" s="21"/>
      <c r="K4" s="21"/>
      <c r="L4" s="5"/>
      <c r="M4" s="5"/>
      <c r="N4" s="5"/>
      <c r="O4" s="5"/>
      <c r="P4" s="5"/>
      <c r="Q4" s="5"/>
      <c r="R4" s="5"/>
    </row>
    <row x14ac:dyDescent="0.25" r="5" customHeight="1" ht="18.75">
      <c r="A5" s="20" t="s">
        <v>10</v>
      </c>
      <c r="B5" s="21"/>
      <c r="C5" s="21"/>
      <c r="D5" s="21"/>
      <c r="E5" s="21"/>
      <c r="F5" s="21"/>
      <c r="G5" s="22"/>
      <c r="H5" s="21"/>
      <c r="I5" s="21"/>
      <c r="J5" s="21"/>
      <c r="K5" s="21"/>
      <c r="L5" s="20" t="s">
        <v>21</v>
      </c>
      <c r="M5" s="5"/>
      <c r="N5" s="5"/>
      <c r="O5" s="5"/>
      <c r="P5" s="5"/>
      <c r="Q5" s="5"/>
      <c r="R5" s="5"/>
    </row>
    <row x14ac:dyDescent="0.25" r="6" customHeight="1" ht="18.75">
      <c r="A6" s="20" t="s">
        <v>22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5"/>
      <c r="M6" s="5"/>
      <c r="N6" s="5"/>
      <c r="O6" s="5"/>
      <c r="P6" s="5"/>
      <c r="Q6" s="5"/>
      <c r="R6" s="5"/>
    </row>
    <row x14ac:dyDescent="0.25" r="7" customHeight="1" ht="18.75">
      <c r="A7" s="20" t="s">
        <v>23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5"/>
      <c r="M7" s="5"/>
      <c r="N7" s="5"/>
      <c r="O7" s="5"/>
      <c r="P7" s="5"/>
      <c r="Q7" s="5"/>
      <c r="R7" s="5"/>
    </row>
    <row x14ac:dyDescent="0.25" r="8" customHeight="1" ht="18.75">
      <c r="A8" s="23"/>
      <c r="B8" s="20"/>
      <c r="C8" s="20"/>
      <c r="D8" s="20"/>
      <c r="E8" s="20"/>
      <c r="F8" s="20"/>
      <c r="G8" s="20"/>
      <c r="H8" s="20"/>
      <c r="I8" s="20"/>
      <c r="J8" s="20"/>
      <c r="K8" s="20"/>
      <c r="L8" s="5"/>
      <c r="M8" s="5"/>
      <c r="N8" s="5"/>
      <c r="O8" s="5"/>
      <c r="P8" s="5"/>
      <c r="Q8" s="5"/>
      <c r="R8" s="5"/>
    </row>
    <row x14ac:dyDescent="0.25" r="9" customHeight="1" ht="18.75">
      <c r="A9" s="20" t="s">
        <v>24</v>
      </c>
      <c r="B9" s="20"/>
      <c r="C9" s="24"/>
      <c r="D9" s="20"/>
      <c r="E9" s="24"/>
      <c r="F9" s="20"/>
      <c r="G9" s="25"/>
      <c r="H9" s="20"/>
      <c r="I9" s="25"/>
      <c r="J9" s="20"/>
      <c r="K9" s="25"/>
      <c r="L9" s="5"/>
      <c r="M9" s="5"/>
      <c r="N9" s="5"/>
      <c r="O9" s="5"/>
      <c r="P9" s="5"/>
      <c r="Q9" s="5"/>
      <c r="R9" s="5"/>
    </row>
    <row x14ac:dyDescent="0.25" r="10" customHeight="1" ht="18.75">
      <c r="A10" s="20" t="s">
        <v>25</v>
      </c>
      <c r="B10" s="20"/>
      <c r="C10" s="26"/>
      <c r="D10" s="20"/>
      <c r="E10" s="26"/>
      <c r="F10" s="20"/>
      <c r="G10" s="27"/>
      <c r="H10" s="20"/>
      <c r="I10" s="27"/>
      <c r="J10" s="20"/>
      <c r="K10" s="27"/>
      <c r="L10" s="20" t="s">
        <v>26</v>
      </c>
      <c r="M10" s="22"/>
      <c r="N10" s="5"/>
      <c r="O10" s="5"/>
      <c r="P10" s="5"/>
      <c r="Q10" s="5"/>
      <c r="R10" s="5"/>
    </row>
    <row x14ac:dyDescent="0.25" r="11" customHeight="1" ht="18.75">
      <c r="A11" s="20" t="s">
        <v>27</v>
      </c>
      <c r="B11" s="20"/>
      <c r="C11" s="26"/>
      <c r="D11" s="20"/>
      <c r="E11" s="26"/>
      <c r="F11" s="20"/>
      <c r="G11" s="27"/>
      <c r="H11" s="20"/>
      <c r="I11" s="27"/>
      <c r="J11" s="20"/>
      <c r="K11" s="27"/>
      <c r="L11" s="20" t="s">
        <v>28</v>
      </c>
      <c r="M11" s="20"/>
      <c r="N11" s="5"/>
      <c r="O11" s="5"/>
      <c r="P11" s="5"/>
      <c r="Q11" s="5"/>
      <c r="R11" s="5"/>
    </row>
    <row x14ac:dyDescent="0.25" r="12" customHeight="1" ht="18.75">
      <c r="A12" s="20" t="s">
        <v>29</v>
      </c>
      <c r="B12" s="20"/>
      <c r="C12" s="24"/>
      <c r="D12" s="20"/>
      <c r="E12" s="24"/>
      <c r="F12" s="20"/>
      <c r="G12" s="25"/>
      <c r="H12" s="20"/>
      <c r="I12" s="25"/>
      <c r="J12" s="20"/>
      <c r="K12" s="25"/>
      <c r="L12" s="20" t="s">
        <v>28</v>
      </c>
      <c r="M12" s="5"/>
      <c r="N12" s="5"/>
      <c r="O12" s="5"/>
      <c r="P12" s="5"/>
      <c r="Q12" s="5"/>
      <c r="R12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70"/>
  <sheetViews>
    <sheetView workbookViewId="0"/>
  </sheetViews>
  <sheetFormatPr defaultRowHeight="15" x14ac:dyDescent="0.25"/>
  <cols>
    <col min="1" max="1" style="13" width="9.290714285714287" customWidth="1" bestFit="1"/>
    <col min="2" max="2" style="14" width="11.862142857142858" customWidth="1" bestFit="1"/>
    <col min="3" max="3" style="14" width="11.862142857142858" customWidth="1" bestFit="1"/>
    <col min="4" max="4" style="16" width="12.862142857142858" customWidth="1" bestFit="1"/>
    <col min="5" max="5" style="13" width="2.4335714285714283" customWidth="1" bestFit="1"/>
    <col min="6" max="6" style="16" width="9.147857142857141" customWidth="1" bestFit="1"/>
    <col min="7" max="7" style="17" width="9.147857142857141" customWidth="1" bestFit="1"/>
    <col min="8" max="8" style="17" width="9.147857142857141" customWidth="1" bestFit="1"/>
    <col min="9" max="9" style="17" width="9.147857142857141" customWidth="1" bestFit="1"/>
    <col min="10" max="10" style="17" width="9.147857142857141" customWidth="1" bestFit="1"/>
    <col min="11" max="11" style="16" width="9.290714285714287" customWidth="1" bestFit="1"/>
    <col min="12" max="12" style="16" width="13.576428571428572" customWidth="1" bestFit="1"/>
    <col min="13" max="13" style="16" width="13.576428571428572" customWidth="1" bestFit="1"/>
    <col min="14" max="14" style="16" width="13.576428571428572" customWidth="1" bestFit="1"/>
    <col min="15" max="15" style="16" width="13.576428571428572" customWidth="1" bestFit="1"/>
    <col min="16" max="16" style="16" width="13.576428571428572" customWidth="1" bestFit="1"/>
    <col min="17" max="17" style="16" width="13.576428571428572" customWidth="1" bestFit="1"/>
  </cols>
  <sheetData>
    <row x14ac:dyDescent="0.25" r="1" customHeight="1" ht="18.75">
      <c r="A1" s="1"/>
      <c r="B1" s="2" t="s">
        <v>0</v>
      </c>
      <c r="C1" s="2" t="s">
        <v>1</v>
      </c>
      <c r="D1" s="4" t="s">
        <v>2</v>
      </c>
      <c r="E1" s="1"/>
      <c r="F1" s="4" t="s">
        <v>3</v>
      </c>
      <c r="G1" s="4" t="s">
        <v>4</v>
      </c>
      <c r="H1" s="4" t="s">
        <v>5</v>
      </c>
      <c r="I1" s="4" t="s">
        <v>6</v>
      </c>
      <c r="J1" s="4"/>
      <c r="K1" s="4"/>
      <c r="L1" s="12"/>
      <c r="M1" s="12"/>
      <c r="N1" s="12"/>
      <c r="O1" s="12"/>
      <c r="P1" s="12"/>
      <c r="Q1" s="12"/>
    </row>
    <row x14ac:dyDescent="0.25" r="2" customHeight="1" ht="18.75">
      <c r="A2" s="5" t="s">
        <v>7</v>
      </c>
      <c r="B2" s="2">
        <v>0.000001</v>
      </c>
      <c r="C2" s="2">
        <v>1e-8</v>
      </c>
      <c r="D2" s="3">
        <v>2000</v>
      </c>
      <c r="E2" s="1"/>
      <c r="F2" s="4">
        <v>0.5523</v>
      </c>
      <c r="G2" s="4">
        <v>1.0895</v>
      </c>
      <c r="H2" s="4">
        <v>1.0056</v>
      </c>
      <c r="I2" s="4">
        <v>2.006</v>
      </c>
      <c r="J2" s="4">
        <f>AVERAGEA(F2:I2)</f>
      </c>
      <c r="K2" s="4"/>
      <c r="L2" s="12"/>
      <c r="M2" s="12"/>
      <c r="N2" s="12"/>
      <c r="O2" s="12"/>
      <c r="P2" s="12"/>
      <c r="Q2" s="12"/>
    </row>
    <row x14ac:dyDescent="0.25" r="3" customHeight="1" ht="18.75">
      <c r="A3" s="1"/>
      <c r="B3" s="2">
        <v>0.000001</v>
      </c>
      <c r="C3" s="2">
        <v>4e-8</v>
      </c>
      <c r="D3" s="3">
        <v>2000</v>
      </c>
      <c r="E3" s="1"/>
      <c r="F3" s="4">
        <v>0.7132</v>
      </c>
      <c r="G3" s="4">
        <v>0.9885</v>
      </c>
      <c r="H3" s="4">
        <v>1.0513</v>
      </c>
      <c r="I3" s="4">
        <v>1.1573</v>
      </c>
      <c r="J3" s="4">
        <f>AVERAGEA(F3:I3)</f>
      </c>
      <c r="K3" s="4"/>
      <c r="L3" s="12"/>
      <c r="M3" s="12"/>
      <c r="N3" s="12"/>
      <c r="O3" s="12"/>
      <c r="P3" s="12"/>
      <c r="Q3" s="12"/>
    </row>
    <row x14ac:dyDescent="0.25" r="4" customHeight="1" ht="18.75">
      <c r="A4" s="1"/>
      <c r="B4" s="2">
        <v>0.000001</v>
      </c>
      <c r="C4" s="2">
        <v>0.000001</v>
      </c>
      <c r="D4" s="3">
        <v>2000</v>
      </c>
      <c r="E4" s="1"/>
      <c r="F4" s="4">
        <v>2.0934</v>
      </c>
      <c r="G4" s="4">
        <v>1.0846</v>
      </c>
      <c r="H4" s="4">
        <v>1.0833</v>
      </c>
      <c r="I4" s="4">
        <v>1.3541</v>
      </c>
      <c r="J4" s="4">
        <f>AVERAGEA(F4:I4)</f>
      </c>
      <c r="K4" s="4"/>
      <c r="L4" s="12"/>
      <c r="M4" s="12"/>
      <c r="N4" s="12"/>
      <c r="O4" s="12"/>
      <c r="P4" s="12"/>
      <c r="Q4" s="12"/>
    </row>
    <row x14ac:dyDescent="0.25" r="5" customHeight="1" ht="18.75">
      <c r="A5" s="1"/>
      <c r="B5" s="2">
        <v>0.000001</v>
      </c>
      <c r="C5" s="2">
        <v>0.00001</v>
      </c>
      <c r="D5" s="3">
        <v>2000</v>
      </c>
      <c r="E5" s="1"/>
      <c r="F5" s="4">
        <v>2.3768</v>
      </c>
      <c r="G5" s="4">
        <v>2.1913</v>
      </c>
      <c r="H5" s="4">
        <v>2.2345</v>
      </c>
      <c r="I5" s="4">
        <v>1.3619</v>
      </c>
      <c r="J5" s="4">
        <f>AVERAGEA(F6:I6)</f>
      </c>
      <c r="K5" s="4"/>
      <c r="L5" s="12"/>
      <c r="M5" s="12"/>
      <c r="N5" s="12"/>
      <c r="O5" s="12"/>
      <c r="P5" s="12"/>
      <c r="Q5" s="12"/>
    </row>
    <row x14ac:dyDescent="0.25" r="6" customHeight="1" ht="18.75">
      <c r="A6" s="1"/>
      <c r="B6" s="2">
        <v>0.00001</v>
      </c>
      <c r="C6" s="2">
        <v>1e-8</v>
      </c>
      <c r="D6" s="3">
        <v>2000</v>
      </c>
      <c r="E6" s="1"/>
      <c r="F6" s="4">
        <v>0.5357</v>
      </c>
      <c r="G6" s="4">
        <v>2.0749</v>
      </c>
      <c r="H6" s="4">
        <v>1.2501</v>
      </c>
      <c r="I6" s="4">
        <v>0.7468</v>
      </c>
      <c r="J6" s="4">
        <f>AVERAGEA(F7:I7)</f>
      </c>
      <c r="K6" s="4"/>
      <c r="L6" s="12"/>
      <c r="M6" s="12"/>
      <c r="N6" s="12"/>
      <c r="O6" s="12"/>
      <c r="P6" s="12"/>
      <c r="Q6" s="12"/>
    </row>
    <row x14ac:dyDescent="0.25" r="7" customHeight="1" ht="18.75">
      <c r="A7" s="1"/>
      <c r="B7" s="2">
        <v>0.00001</v>
      </c>
      <c r="C7" s="2">
        <v>4e-8</v>
      </c>
      <c r="D7" s="3">
        <v>2000</v>
      </c>
      <c r="E7" s="1"/>
      <c r="F7" s="4">
        <v>1.2956</v>
      </c>
      <c r="G7" s="4">
        <v>1.0042</v>
      </c>
      <c r="H7" s="4">
        <v>1.2738</v>
      </c>
      <c r="I7" s="4">
        <v>2.0239</v>
      </c>
      <c r="J7" s="4">
        <f>AVERAGEA(F8:I8)</f>
      </c>
      <c r="K7" s="4"/>
      <c r="L7" s="12"/>
      <c r="M7" s="12"/>
      <c r="N7" s="12"/>
      <c r="O7" s="12"/>
      <c r="P7" s="12"/>
      <c r="Q7" s="12"/>
    </row>
    <row x14ac:dyDescent="0.25" r="8" customHeight="1" ht="18.75">
      <c r="A8" s="1"/>
      <c r="B8" s="2">
        <v>0.00001</v>
      </c>
      <c r="C8" s="2">
        <v>0.000001</v>
      </c>
      <c r="D8" s="3">
        <v>2000</v>
      </c>
      <c r="E8" s="1"/>
      <c r="F8" s="4">
        <v>1.2428</v>
      </c>
      <c r="G8" s="4">
        <v>1.5627</v>
      </c>
      <c r="H8" s="4">
        <v>1.4881</v>
      </c>
      <c r="I8" s="4">
        <v>2.0863</v>
      </c>
      <c r="J8" s="4">
        <f>AVERAGEA(F9:I9)</f>
      </c>
      <c r="K8" s="4"/>
      <c r="L8" s="12"/>
      <c r="M8" s="12"/>
      <c r="N8" s="12"/>
      <c r="O8" s="12"/>
      <c r="P8" s="12"/>
      <c r="Q8" s="12"/>
    </row>
    <row x14ac:dyDescent="0.25" r="9" customHeight="1" ht="18.75">
      <c r="A9" s="1"/>
      <c r="B9" s="2">
        <v>0.00001</v>
      </c>
      <c r="C9" s="2">
        <v>0.00001</v>
      </c>
      <c r="D9" s="3">
        <v>2000</v>
      </c>
      <c r="E9" s="1"/>
      <c r="F9" s="4">
        <v>2.1875</v>
      </c>
      <c r="G9" s="4">
        <v>1.3812</v>
      </c>
      <c r="H9" s="4">
        <v>2.3713</v>
      </c>
      <c r="I9" s="4">
        <v>1.382</v>
      </c>
      <c r="J9" s="4">
        <f>AVERAGEA(F10:I10)</f>
      </c>
      <c r="K9" s="4"/>
      <c r="L9" s="12"/>
      <c r="M9" s="12"/>
      <c r="N9" s="12"/>
      <c r="O9" s="12"/>
      <c r="P9" s="12"/>
      <c r="Q9" s="12"/>
    </row>
    <row x14ac:dyDescent="0.25" r="10" customHeight="1" ht="18.75">
      <c r="A10" s="1"/>
      <c r="B10" s="7">
        <v>0.00005</v>
      </c>
      <c r="C10" s="7">
        <v>1e-8</v>
      </c>
      <c r="D10" s="8">
        <v>2000</v>
      </c>
      <c r="E10" s="6"/>
      <c r="F10" s="9">
        <v>1.5365</v>
      </c>
      <c r="G10" s="9"/>
      <c r="H10" s="9"/>
      <c r="I10" s="9"/>
      <c r="J10" s="9"/>
      <c r="K10" s="4"/>
      <c r="L10" s="4"/>
      <c r="M10" s="12"/>
      <c r="N10" s="12"/>
      <c r="O10" s="12"/>
      <c r="P10" s="12"/>
      <c r="Q10" s="12"/>
    </row>
    <row x14ac:dyDescent="0.25" r="11" customHeight="1" ht="18.75">
      <c r="A11" s="1"/>
      <c r="B11" s="7">
        <v>0.00005</v>
      </c>
      <c r="C11" s="7">
        <v>4e-8</v>
      </c>
      <c r="D11" s="8">
        <v>2000</v>
      </c>
      <c r="E11" s="6"/>
      <c r="F11" s="9">
        <v>2.3713</v>
      </c>
      <c r="G11" s="9"/>
      <c r="H11" s="9"/>
      <c r="I11" s="9"/>
      <c r="J11" s="9"/>
      <c r="K11" s="4"/>
      <c r="L11" s="4"/>
      <c r="M11" s="12"/>
      <c r="N11" s="12"/>
      <c r="O11" s="12"/>
      <c r="P11" s="12"/>
      <c r="Q11" s="12"/>
    </row>
    <row x14ac:dyDescent="0.25" r="12" customHeight="1" ht="18.75">
      <c r="A12" s="6"/>
      <c r="B12" s="7">
        <v>0.00005</v>
      </c>
      <c r="C12" s="7">
        <v>0.000001</v>
      </c>
      <c r="D12" s="8">
        <v>2000</v>
      </c>
      <c r="E12" s="6"/>
      <c r="F12" s="9">
        <v>2.2662</v>
      </c>
      <c r="G12" s="9"/>
      <c r="H12" s="9"/>
      <c r="I12" s="9"/>
      <c r="J12" s="9"/>
      <c r="K12" s="4"/>
      <c r="L12" s="4"/>
      <c r="M12" s="12"/>
      <c r="N12" s="12"/>
      <c r="O12" s="12"/>
      <c r="P12" s="12"/>
      <c r="Q12" s="12"/>
    </row>
    <row x14ac:dyDescent="0.25" r="13" customHeight="1" ht="18.75">
      <c r="A13" s="6"/>
      <c r="B13" s="7">
        <v>0.00005</v>
      </c>
      <c r="C13" s="7">
        <v>0.00001</v>
      </c>
      <c r="D13" s="8">
        <v>2000</v>
      </c>
      <c r="E13" s="6"/>
      <c r="F13" s="9">
        <v>2.5034</v>
      </c>
      <c r="G13" s="9"/>
      <c r="H13" s="9"/>
      <c r="I13" s="9"/>
      <c r="J13" s="9"/>
      <c r="K13" s="4"/>
      <c r="L13" s="4"/>
      <c r="M13" s="12"/>
      <c r="N13" s="12"/>
      <c r="O13" s="12"/>
      <c r="P13" s="12"/>
      <c r="Q13" s="12"/>
    </row>
    <row x14ac:dyDescent="0.25" r="14" customHeight="1" ht="18.75">
      <c r="A14" s="1"/>
      <c r="B14" s="2"/>
      <c r="C14" s="10"/>
      <c r="D14" s="12"/>
      <c r="E14" s="1"/>
      <c r="F14" s="12"/>
      <c r="G14" s="4"/>
      <c r="H14" s="4"/>
      <c r="I14" s="4"/>
      <c r="J14" s="4"/>
      <c r="K14" s="4"/>
      <c r="L14" s="12"/>
      <c r="M14" s="12"/>
      <c r="N14" s="12"/>
      <c r="O14" s="12"/>
      <c r="P14" s="12"/>
      <c r="Q14" s="12"/>
    </row>
    <row x14ac:dyDescent="0.25" r="15" customHeight="1" ht="18.75">
      <c r="A15" s="1"/>
      <c r="B15" s="2"/>
      <c r="C15" s="10"/>
      <c r="D15" s="12"/>
      <c r="E15" s="1"/>
      <c r="F15" s="12"/>
      <c r="G15" s="4"/>
      <c r="H15" s="4"/>
      <c r="I15" s="4"/>
      <c r="J15" s="4"/>
      <c r="K15" s="4"/>
      <c r="L15" s="12"/>
      <c r="M15" s="12"/>
      <c r="N15" s="12"/>
      <c r="O15" s="12"/>
      <c r="P15" s="12"/>
      <c r="Q15" s="12"/>
    </row>
    <row x14ac:dyDescent="0.25" r="16" customHeight="1" ht="18.75">
      <c r="A16" s="1"/>
      <c r="B16" s="2"/>
      <c r="C16" s="10"/>
      <c r="D16" s="12"/>
      <c r="E16" s="1"/>
      <c r="F16" s="12"/>
      <c r="G16" s="4"/>
      <c r="H16" s="4"/>
      <c r="I16" s="4"/>
      <c r="J16" s="4"/>
      <c r="K16" s="4"/>
      <c r="L16" s="12"/>
      <c r="M16" s="12"/>
      <c r="N16" s="12"/>
      <c r="O16" s="12"/>
      <c r="P16" s="12"/>
      <c r="Q16" s="12"/>
    </row>
    <row x14ac:dyDescent="0.25" r="17" customHeight="1" ht="18.75">
      <c r="A17" s="5" t="s">
        <v>9</v>
      </c>
      <c r="B17" s="2">
        <v>0.000001</v>
      </c>
      <c r="C17" s="10"/>
      <c r="D17" s="4">
        <v>0.9839</v>
      </c>
      <c r="E17" s="1"/>
      <c r="F17" s="4">
        <v>1.1229</v>
      </c>
      <c r="G17" s="4">
        <v>1.109</v>
      </c>
      <c r="H17" s="4">
        <v>0.5815</v>
      </c>
      <c r="I17" s="4">
        <v>0.9547</v>
      </c>
      <c r="J17" s="4">
        <f>AVERAGEA(F17:I17)</f>
      </c>
      <c r="K17" s="4">
        <v>1.0465</v>
      </c>
      <c r="L17" s="4">
        <v>1.6999</v>
      </c>
      <c r="M17" s="4">
        <v>1.1885</v>
      </c>
      <c r="N17" s="4">
        <v>2.1289</v>
      </c>
      <c r="O17" s="4">
        <v>1.231</v>
      </c>
      <c r="P17" s="4">
        <v>0.7153</v>
      </c>
      <c r="Q17" s="18">
        <f>AVERAGE(J17:P17)</f>
      </c>
    </row>
    <row x14ac:dyDescent="0.25" r="18" customHeight="1" ht="18.75">
      <c r="A18" s="1"/>
      <c r="B18" s="2">
        <v>0.00001</v>
      </c>
      <c r="C18" s="10"/>
      <c r="D18" s="4">
        <v>2.5197</v>
      </c>
      <c r="E18" s="1"/>
      <c r="F18" s="4">
        <v>1.4225</v>
      </c>
      <c r="G18" s="4">
        <v>2.4286</v>
      </c>
      <c r="H18" s="4">
        <v>2.4694</v>
      </c>
      <c r="I18" s="4">
        <v>1.494</v>
      </c>
      <c r="J18" s="4">
        <f>AVERAGEA(F18:I18)</f>
      </c>
      <c r="K18" s="4">
        <v>1.4808</v>
      </c>
      <c r="L18" s="4">
        <v>1.9108</v>
      </c>
      <c r="M18" s="4">
        <v>2.287</v>
      </c>
      <c r="N18" s="4">
        <v>2.1632</v>
      </c>
      <c r="O18" s="4">
        <v>1.2263</v>
      </c>
      <c r="P18" s="4">
        <v>2.5892</v>
      </c>
      <c r="Q18" s="18">
        <f>AVERAGE(J18:P18)</f>
      </c>
    </row>
    <row x14ac:dyDescent="0.25" r="19" customHeight="1" ht="18.75">
      <c r="A19" s="5" t="s">
        <v>10</v>
      </c>
      <c r="B19" s="2">
        <v>0.000001</v>
      </c>
      <c r="C19" s="10"/>
      <c r="D19" s="4">
        <v>0.5872</v>
      </c>
      <c r="E19" s="1"/>
      <c r="F19" s="4">
        <v>0.6422</v>
      </c>
      <c r="G19" s="4">
        <v>0.7156</v>
      </c>
      <c r="H19" s="4">
        <v>0.9314</v>
      </c>
      <c r="I19" s="4">
        <v>0.8161</v>
      </c>
      <c r="J19" s="4">
        <f>AVERAGEA(F19:I19)</f>
      </c>
      <c r="K19" s="4">
        <v>1.1451</v>
      </c>
      <c r="L19" s="4">
        <v>1.1335</v>
      </c>
      <c r="M19" s="4">
        <v>1.3833</v>
      </c>
      <c r="N19" s="4">
        <v>1.0211</v>
      </c>
      <c r="O19" s="4">
        <v>1.0823</v>
      </c>
      <c r="P19" s="4">
        <v>0.9675</v>
      </c>
      <c r="Q19" s="18">
        <f>AVERAGE(J19:P19)</f>
      </c>
    </row>
    <row x14ac:dyDescent="0.25" r="20" customHeight="1" ht="18.75">
      <c r="A20" s="1"/>
      <c r="B20" s="2">
        <v>0.00001</v>
      </c>
      <c r="C20" s="10"/>
      <c r="D20" s="4">
        <v>1.1832</v>
      </c>
      <c r="E20" s="1"/>
      <c r="F20" s="4">
        <v>2.4409</v>
      </c>
      <c r="G20" s="4">
        <v>2.3132</v>
      </c>
      <c r="H20" s="4">
        <v>2.3041</v>
      </c>
      <c r="I20" s="4">
        <v>2.4167</v>
      </c>
      <c r="J20" s="4">
        <f>AVERAGEA(F20:I20)</f>
      </c>
      <c r="K20" s="4">
        <v>1.515</v>
      </c>
      <c r="L20" s="4">
        <v>2.3897</v>
      </c>
      <c r="M20" s="4">
        <v>1.9947</v>
      </c>
      <c r="N20" s="4">
        <v>2.4163</v>
      </c>
      <c r="O20" s="4">
        <v>2.2752</v>
      </c>
      <c r="P20" s="4">
        <v>1.3358</v>
      </c>
      <c r="Q20" s="18">
        <f>AVERAGE(J20:P20)</f>
      </c>
    </row>
    <row x14ac:dyDescent="0.25" r="21" customHeight="1" ht="18.75">
      <c r="A21" s="1"/>
      <c r="B21" s="10"/>
      <c r="C21" s="10"/>
      <c r="D21" s="4"/>
      <c r="E21" s="1"/>
      <c r="F21" s="12"/>
      <c r="G21" s="4"/>
      <c r="H21" s="4"/>
      <c r="I21" s="4"/>
      <c r="J21" s="18"/>
      <c r="K21" s="18"/>
      <c r="L21" s="18"/>
      <c r="M21" s="18"/>
      <c r="N21" s="18"/>
      <c r="O21" s="18"/>
      <c r="P21" s="12"/>
      <c r="Q21" s="12"/>
    </row>
    <row x14ac:dyDescent="0.25" r="22" customHeight="1" ht="18.75">
      <c r="A22" s="1"/>
      <c r="B22" s="10"/>
      <c r="C22" s="10"/>
      <c r="D22" s="12"/>
      <c r="E22" s="1"/>
      <c r="F22" s="12"/>
      <c r="G22" s="4"/>
      <c r="H22" s="4"/>
      <c r="I22" s="4"/>
      <c r="J22" s="4"/>
      <c r="K22" s="18"/>
      <c r="L22" s="18"/>
      <c r="M22" s="18"/>
      <c r="N22" s="18"/>
      <c r="O22" s="18"/>
      <c r="P22" s="18"/>
      <c r="Q22" s="12"/>
    </row>
    <row x14ac:dyDescent="0.25" r="23" customHeight="1" ht="18.75">
      <c r="A23" s="1"/>
      <c r="B23" s="10"/>
      <c r="C23" s="10"/>
      <c r="D23" s="12"/>
      <c r="E23" s="1"/>
      <c r="F23" s="12"/>
      <c r="G23" s="4"/>
      <c r="H23" s="4"/>
      <c r="I23" s="4"/>
      <c r="J23" s="4"/>
      <c r="K23" s="12"/>
      <c r="L23" s="12"/>
      <c r="M23" s="12"/>
      <c r="N23" s="12"/>
      <c r="O23" s="12"/>
      <c r="P23" s="12"/>
      <c r="Q23" s="12"/>
    </row>
    <row x14ac:dyDescent="0.25" r="24" customHeight="1" ht="18.75">
      <c r="A24" s="1"/>
      <c r="B24" s="10"/>
      <c r="C24" s="10"/>
      <c r="D24" s="12"/>
      <c r="E24" s="1"/>
      <c r="F24" s="12"/>
      <c r="G24" s="4"/>
      <c r="H24" s="4"/>
      <c r="I24" s="4"/>
      <c r="J24" s="4"/>
      <c r="K24" s="12"/>
      <c r="L24" s="12"/>
      <c r="M24" s="12"/>
      <c r="N24" s="12"/>
      <c r="O24" s="12"/>
      <c r="P24" s="12"/>
      <c r="Q24" s="12"/>
    </row>
    <row x14ac:dyDescent="0.25" r="25" customHeight="1" ht="18.75">
      <c r="A25" s="1"/>
      <c r="B25" s="10"/>
      <c r="C25" s="10"/>
      <c r="D25" s="12"/>
      <c r="E25" s="1"/>
      <c r="F25" s="12"/>
      <c r="G25" s="4"/>
      <c r="H25" s="4"/>
      <c r="I25" s="4"/>
      <c r="J25" s="4"/>
      <c r="K25" s="12"/>
      <c r="L25" s="12"/>
      <c r="M25" s="12"/>
      <c r="N25" s="12"/>
      <c r="O25" s="12"/>
      <c r="P25" s="12"/>
      <c r="Q25" s="12"/>
    </row>
    <row x14ac:dyDescent="0.25" r="26" customHeight="1" ht="18.75">
      <c r="A26" s="1"/>
      <c r="B26" s="10"/>
      <c r="C26" s="10"/>
      <c r="D26" s="12"/>
      <c r="E26" s="1"/>
      <c r="F26" s="12"/>
      <c r="G26" s="4"/>
      <c r="H26" s="4"/>
      <c r="I26" s="4"/>
      <c r="J26" s="4"/>
      <c r="K26" s="12"/>
      <c r="L26" s="12"/>
      <c r="M26" s="12"/>
      <c r="N26" s="12"/>
      <c r="O26" s="12"/>
      <c r="P26" s="12"/>
      <c r="Q26" s="12"/>
    </row>
    <row x14ac:dyDescent="0.25" r="27" customHeight="1" ht="18.75">
      <c r="A27" s="1"/>
      <c r="B27" s="10"/>
      <c r="C27" s="10"/>
      <c r="D27" s="12"/>
      <c r="E27" s="1"/>
      <c r="F27" s="12"/>
      <c r="G27" s="4"/>
      <c r="H27" s="4"/>
      <c r="I27" s="4"/>
      <c r="J27" s="4"/>
      <c r="K27" s="12"/>
      <c r="L27" s="12"/>
      <c r="M27" s="12"/>
      <c r="N27" s="12"/>
      <c r="O27" s="12"/>
      <c r="P27" s="12"/>
      <c r="Q27" s="12"/>
    </row>
    <row x14ac:dyDescent="0.25" r="28" customHeight="1" ht="18.75">
      <c r="A28" s="1"/>
      <c r="B28" s="10"/>
      <c r="C28" s="10"/>
      <c r="D28" s="12"/>
      <c r="E28" s="1"/>
      <c r="F28" s="12"/>
      <c r="G28" s="4"/>
      <c r="H28" s="4"/>
      <c r="I28" s="4"/>
      <c r="J28" s="4"/>
      <c r="K28" s="12"/>
      <c r="L28" s="12"/>
      <c r="M28" s="12"/>
      <c r="N28" s="12"/>
      <c r="O28" s="12"/>
      <c r="P28" s="12"/>
      <c r="Q28" s="12"/>
    </row>
    <row x14ac:dyDescent="0.25" r="29" customHeight="1" ht="18.75">
      <c r="A29" s="1"/>
      <c r="B29" s="10"/>
      <c r="C29" s="10"/>
      <c r="D29" s="12"/>
      <c r="E29" s="1"/>
      <c r="F29" s="12"/>
      <c r="G29" s="4"/>
      <c r="H29" s="4"/>
      <c r="I29" s="4"/>
      <c r="J29" s="4"/>
      <c r="K29" s="12"/>
      <c r="L29" s="12"/>
      <c r="M29" s="12"/>
      <c r="N29" s="12"/>
      <c r="O29" s="12"/>
      <c r="P29" s="12"/>
      <c r="Q29" s="12"/>
    </row>
    <row x14ac:dyDescent="0.25" r="30" customHeight="1" ht="18.75">
      <c r="A30" s="1"/>
      <c r="B30" s="10"/>
      <c r="C30" s="10"/>
      <c r="D30" s="12"/>
      <c r="E30" s="1"/>
      <c r="F30" s="12"/>
      <c r="G30" s="4"/>
      <c r="H30" s="4"/>
      <c r="I30" s="4"/>
      <c r="J30" s="4"/>
      <c r="K30" s="12"/>
      <c r="L30" s="12"/>
      <c r="M30" s="12"/>
      <c r="N30" s="12"/>
      <c r="O30" s="12"/>
      <c r="P30" s="12"/>
      <c r="Q30" s="12"/>
    </row>
    <row x14ac:dyDescent="0.25" r="31" customHeight="1" ht="18.75">
      <c r="A31" s="1"/>
      <c r="B31" s="10"/>
      <c r="C31" s="10"/>
      <c r="D31" s="12"/>
      <c r="E31" s="1"/>
      <c r="F31" s="12"/>
      <c r="G31" s="4"/>
      <c r="H31" s="4"/>
      <c r="I31" s="4"/>
      <c r="J31" s="4"/>
      <c r="K31" s="12"/>
      <c r="L31" s="12"/>
      <c r="M31" s="12"/>
      <c r="N31" s="12"/>
      <c r="O31" s="12"/>
      <c r="P31" s="12"/>
      <c r="Q31" s="12"/>
    </row>
    <row x14ac:dyDescent="0.25" r="32" customHeight="1" ht="18.75">
      <c r="A32" s="1"/>
      <c r="B32" s="10"/>
      <c r="C32" s="10"/>
      <c r="D32" s="12"/>
      <c r="E32" s="1"/>
      <c r="F32" s="12"/>
      <c r="G32" s="4"/>
      <c r="H32" s="4"/>
      <c r="I32" s="4"/>
      <c r="J32" s="4"/>
      <c r="K32" s="12"/>
      <c r="L32" s="12"/>
      <c r="M32" s="12"/>
      <c r="N32" s="12"/>
      <c r="O32" s="12"/>
      <c r="P32" s="12"/>
      <c r="Q32" s="12"/>
    </row>
    <row x14ac:dyDescent="0.25" r="33" customHeight="1" ht="18.75">
      <c r="A33" s="1"/>
      <c r="B33" s="10"/>
      <c r="C33" s="10"/>
      <c r="D33" s="12"/>
      <c r="E33" s="1"/>
      <c r="F33" s="12"/>
      <c r="G33" s="4"/>
      <c r="H33" s="4"/>
      <c r="I33" s="4"/>
      <c r="J33" s="4"/>
      <c r="K33" s="12"/>
      <c r="L33" s="12"/>
      <c r="M33" s="12"/>
      <c r="N33" s="12"/>
      <c r="O33" s="12"/>
      <c r="P33" s="12"/>
      <c r="Q33" s="12"/>
    </row>
    <row x14ac:dyDescent="0.25" r="34" customHeight="1" ht="18.75">
      <c r="A34" s="1"/>
      <c r="B34" s="10"/>
      <c r="C34" s="10"/>
      <c r="D34" s="12"/>
      <c r="E34" s="1"/>
      <c r="F34" s="12"/>
      <c r="G34" s="4"/>
      <c r="H34" s="4"/>
      <c r="I34" s="4"/>
      <c r="J34" s="4"/>
      <c r="K34" s="12"/>
      <c r="L34" s="12"/>
      <c r="M34" s="12"/>
      <c r="N34" s="12"/>
      <c r="O34" s="12"/>
      <c r="P34" s="12"/>
      <c r="Q34" s="12"/>
    </row>
    <row x14ac:dyDescent="0.25" r="35" customHeight="1" ht="18.75">
      <c r="A35" s="1"/>
      <c r="B35" s="10"/>
      <c r="C35" s="10"/>
      <c r="D35" s="12"/>
      <c r="E35" s="1"/>
      <c r="F35" s="12"/>
      <c r="G35" s="4"/>
      <c r="H35" s="4"/>
      <c r="I35" s="4"/>
      <c r="J35" s="4"/>
      <c r="K35" s="12"/>
      <c r="L35" s="12"/>
      <c r="M35" s="12"/>
      <c r="N35" s="12"/>
      <c r="O35" s="12"/>
      <c r="P35" s="12"/>
      <c r="Q35" s="12"/>
    </row>
    <row x14ac:dyDescent="0.25" r="36" customHeight="1" ht="18.75">
      <c r="A36" s="1"/>
      <c r="B36" s="10"/>
      <c r="C36" s="10"/>
      <c r="D36" s="12"/>
      <c r="E36" s="1"/>
      <c r="F36" s="12"/>
      <c r="G36" s="4"/>
      <c r="H36" s="4"/>
      <c r="I36" s="4"/>
      <c r="J36" s="4"/>
      <c r="K36" s="12"/>
      <c r="L36" s="12"/>
      <c r="M36" s="12"/>
      <c r="N36" s="12"/>
      <c r="O36" s="12"/>
      <c r="P36" s="12"/>
      <c r="Q36" s="12"/>
    </row>
    <row x14ac:dyDescent="0.25" r="37" customHeight="1" ht="18.75">
      <c r="A37" s="1"/>
      <c r="B37" s="10"/>
      <c r="C37" s="10"/>
      <c r="D37" s="12"/>
      <c r="E37" s="1"/>
      <c r="F37" s="12"/>
      <c r="G37" s="4"/>
      <c r="H37" s="4"/>
      <c r="I37" s="4"/>
      <c r="J37" s="4"/>
      <c r="K37" s="12"/>
      <c r="L37" s="12"/>
      <c r="M37" s="12"/>
      <c r="N37" s="12"/>
      <c r="O37" s="12"/>
      <c r="P37" s="12"/>
      <c r="Q37" s="12"/>
    </row>
    <row x14ac:dyDescent="0.25" r="38" customHeight="1" ht="18.75">
      <c r="A38" s="1"/>
      <c r="B38" s="10"/>
      <c r="C38" s="10"/>
      <c r="D38" s="12"/>
      <c r="E38" s="1"/>
      <c r="F38" s="12"/>
      <c r="G38" s="4"/>
      <c r="H38" s="4"/>
      <c r="I38" s="4"/>
      <c r="J38" s="4"/>
      <c r="K38" s="12"/>
      <c r="L38" s="12"/>
      <c r="M38" s="12"/>
      <c r="N38" s="12"/>
      <c r="O38" s="12"/>
      <c r="P38" s="12"/>
      <c r="Q38" s="12"/>
    </row>
    <row x14ac:dyDescent="0.25" r="39" customHeight="1" ht="18.75">
      <c r="A39" s="1"/>
      <c r="B39" s="10"/>
      <c r="C39" s="10"/>
      <c r="D39" s="12"/>
      <c r="E39" s="1"/>
      <c r="F39" s="12"/>
      <c r="G39" s="4"/>
      <c r="H39" s="4"/>
      <c r="I39" s="4"/>
      <c r="J39" s="4"/>
      <c r="K39" s="12"/>
      <c r="L39" s="12"/>
      <c r="M39" s="12"/>
      <c r="N39" s="12"/>
      <c r="O39" s="12"/>
      <c r="P39" s="12"/>
      <c r="Q39" s="12"/>
    </row>
    <row x14ac:dyDescent="0.25" r="40" customHeight="1" ht="18.75">
      <c r="A40" s="1"/>
      <c r="B40" s="10"/>
      <c r="C40" s="10"/>
      <c r="D40" s="12"/>
      <c r="E40" s="1"/>
      <c r="F40" s="12"/>
      <c r="G40" s="4"/>
      <c r="H40" s="4"/>
      <c r="I40" s="4"/>
      <c r="J40" s="4"/>
      <c r="K40" s="12"/>
      <c r="L40" s="12"/>
      <c r="M40" s="12"/>
      <c r="N40" s="12"/>
      <c r="O40" s="12"/>
      <c r="P40" s="12"/>
      <c r="Q40" s="12"/>
    </row>
    <row x14ac:dyDescent="0.25" r="41" customHeight="1" ht="18.75">
      <c r="A41" s="1"/>
      <c r="B41" s="10"/>
      <c r="C41" s="10"/>
      <c r="D41" s="12"/>
      <c r="E41" s="1"/>
      <c r="F41" s="12"/>
      <c r="G41" s="4"/>
      <c r="H41" s="4"/>
      <c r="I41" s="4"/>
      <c r="J41" s="4"/>
      <c r="K41" s="12"/>
      <c r="L41" s="12"/>
      <c r="M41" s="12"/>
      <c r="N41" s="12"/>
      <c r="O41" s="12"/>
      <c r="P41" s="12"/>
      <c r="Q41" s="12"/>
    </row>
    <row x14ac:dyDescent="0.25" r="42" customHeight="1" ht="18.75">
      <c r="A42" s="1"/>
      <c r="B42" s="10"/>
      <c r="C42" s="10"/>
      <c r="D42" s="12"/>
      <c r="E42" s="1"/>
      <c r="F42" s="12"/>
      <c r="G42" s="4"/>
      <c r="H42" s="4"/>
      <c r="I42" s="4"/>
      <c r="J42" s="4"/>
      <c r="K42" s="12"/>
      <c r="L42" s="12"/>
      <c r="M42" s="12"/>
      <c r="N42" s="12"/>
      <c r="O42" s="12"/>
      <c r="P42" s="12"/>
      <c r="Q42" s="12"/>
    </row>
    <row x14ac:dyDescent="0.25" r="43" customHeight="1" ht="18.75">
      <c r="A43" s="1"/>
      <c r="B43" s="10"/>
      <c r="C43" s="10"/>
      <c r="D43" s="12"/>
      <c r="E43" s="1"/>
      <c r="F43" s="12"/>
      <c r="G43" s="4"/>
      <c r="H43" s="4"/>
      <c r="I43" s="4"/>
      <c r="J43" s="4"/>
      <c r="K43" s="12"/>
      <c r="L43" s="12"/>
      <c r="M43" s="12"/>
      <c r="N43" s="12"/>
      <c r="O43" s="12"/>
      <c r="P43" s="12"/>
      <c r="Q43" s="12"/>
    </row>
    <row x14ac:dyDescent="0.25" r="44" customHeight="1" ht="18.75">
      <c r="A44" s="1"/>
      <c r="B44" s="10"/>
      <c r="C44" s="10"/>
      <c r="D44" s="12"/>
      <c r="E44" s="1"/>
      <c r="F44" s="12"/>
      <c r="G44" s="4"/>
      <c r="H44" s="4"/>
      <c r="I44" s="4"/>
      <c r="J44" s="4"/>
      <c r="K44" s="12"/>
      <c r="L44" s="12"/>
      <c r="M44" s="12"/>
      <c r="N44" s="12"/>
      <c r="O44" s="12"/>
      <c r="P44" s="12"/>
      <c r="Q44" s="12"/>
    </row>
    <row x14ac:dyDescent="0.25" r="45" customHeight="1" ht="18.75">
      <c r="A45" s="1"/>
      <c r="B45" s="10"/>
      <c r="C45" s="10"/>
      <c r="D45" s="12"/>
      <c r="E45" s="1"/>
      <c r="F45" s="12"/>
      <c r="G45" s="4"/>
      <c r="H45" s="4"/>
      <c r="I45" s="4"/>
      <c r="J45" s="4"/>
      <c r="K45" s="12"/>
      <c r="L45" s="12"/>
      <c r="M45" s="12"/>
      <c r="N45" s="12"/>
      <c r="O45" s="12"/>
      <c r="P45" s="12"/>
      <c r="Q45" s="12"/>
    </row>
    <row x14ac:dyDescent="0.25" r="46" customHeight="1" ht="18.75">
      <c r="A46" s="1"/>
      <c r="B46" s="10"/>
      <c r="C46" s="10"/>
      <c r="D46" s="12"/>
      <c r="E46" s="1"/>
      <c r="F46" s="12"/>
      <c r="G46" s="4"/>
      <c r="H46" s="4"/>
      <c r="I46" s="4"/>
      <c r="J46" s="4"/>
      <c r="K46" s="12"/>
      <c r="L46" s="12"/>
      <c r="M46" s="12"/>
      <c r="N46" s="12"/>
      <c r="O46" s="12"/>
      <c r="P46" s="12"/>
      <c r="Q46" s="12"/>
    </row>
    <row x14ac:dyDescent="0.25" r="47" customHeight="1" ht="18.75">
      <c r="A47" s="1"/>
      <c r="B47" s="10"/>
      <c r="C47" s="10"/>
      <c r="D47" s="12"/>
      <c r="E47" s="1"/>
      <c r="F47" s="12"/>
      <c r="G47" s="4"/>
      <c r="H47" s="4"/>
      <c r="I47" s="4"/>
      <c r="J47" s="4"/>
      <c r="K47" s="12"/>
      <c r="L47" s="12"/>
      <c r="M47" s="12"/>
      <c r="N47" s="12"/>
      <c r="O47" s="12"/>
      <c r="P47" s="12"/>
      <c r="Q47" s="12"/>
    </row>
    <row x14ac:dyDescent="0.25" r="48" customHeight="1" ht="18.75">
      <c r="A48" s="1"/>
      <c r="B48" s="10"/>
      <c r="C48" s="10"/>
      <c r="D48" s="12"/>
      <c r="E48" s="1"/>
      <c r="F48" s="12"/>
      <c r="G48" s="4"/>
      <c r="H48" s="4"/>
      <c r="I48" s="4"/>
      <c r="J48" s="4"/>
      <c r="K48" s="12"/>
      <c r="L48" s="12"/>
      <c r="M48" s="12"/>
      <c r="N48" s="12"/>
      <c r="O48" s="12"/>
      <c r="P48" s="12"/>
      <c r="Q48" s="12"/>
    </row>
    <row x14ac:dyDescent="0.25" r="49" customHeight="1" ht="18.75">
      <c r="A49" s="1"/>
      <c r="B49" s="10"/>
      <c r="C49" s="10"/>
      <c r="D49" s="12"/>
      <c r="E49" s="1"/>
      <c r="F49" s="12"/>
      <c r="G49" s="4"/>
      <c r="H49" s="4"/>
      <c r="I49" s="4"/>
      <c r="J49" s="4"/>
      <c r="K49" s="12"/>
      <c r="L49" s="12"/>
      <c r="M49" s="12"/>
      <c r="N49" s="12"/>
      <c r="O49" s="12"/>
      <c r="P49" s="12"/>
      <c r="Q49" s="12"/>
    </row>
    <row x14ac:dyDescent="0.25" r="50" customHeight="1" ht="18.75">
      <c r="A50" s="1"/>
      <c r="B50" s="10"/>
      <c r="C50" s="10"/>
      <c r="D50" s="12"/>
      <c r="E50" s="1"/>
      <c r="F50" s="12"/>
      <c r="G50" s="4"/>
      <c r="H50" s="4"/>
      <c r="I50" s="4"/>
      <c r="J50" s="4"/>
      <c r="K50" s="12"/>
      <c r="L50" s="12"/>
      <c r="M50" s="12"/>
      <c r="N50" s="12"/>
      <c r="O50" s="12"/>
      <c r="P50" s="12"/>
      <c r="Q50" s="12"/>
    </row>
    <row x14ac:dyDescent="0.25" r="51" customHeight="1" ht="18.75">
      <c r="A51" s="1"/>
      <c r="B51" s="10"/>
      <c r="C51" s="10"/>
      <c r="D51" s="12"/>
      <c r="E51" s="1"/>
      <c r="F51" s="12"/>
      <c r="G51" s="4"/>
      <c r="H51" s="4"/>
      <c r="I51" s="4"/>
      <c r="J51" s="4"/>
      <c r="K51" s="12"/>
      <c r="L51" s="12"/>
      <c r="M51" s="12"/>
      <c r="N51" s="12"/>
      <c r="O51" s="12"/>
      <c r="P51" s="12"/>
      <c r="Q51" s="12"/>
    </row>
    <row x14ac:dyDescent="0.25" r="52" customHeight="1" ht="18.75">
      <c r="A52" s="1"/>
      <c r="B52" s="10"/>
      <c r="C52" s="10"/>
      <c r="D52" s="12"/>
      <c r="E52" s="1"/>
      <c r="F52" s="12"/>
      <c r="G52" s="4"/>
      <c r="H52" s="4"/>
      <c r="I52" s="4"/>
      <c r="J52" s="4"/>
      <c r="K52" s="12"/>
      <c r="L52" s="12"/>
      <c r="M52" s="12"/>
      <c r="N52" s="12"/>
      <c r="O52" s="12"/>
      <c r="P52" s="12"/>
      <c r="Q52" s="12"/>
    </row>
    <row x14ac:dyDescent="0.25" r="53" customHeight="1" ht="18.75">
      <c r="A53" s="1"/>
      <c r="B53" s="10"/>
      <c r="C53" s="10"/>
      <c r="D53" s="12"/>
      <c r="E53" s="1"/>
      <c r="F53" s="12"/>
      <c r="G53" s="4"/>
      <c r="H53" s="4"/>
      <c r="I53" s="4"/>
      <c r="J53" s="4"/>
      <c r="K53" s="12"/>
      <c r="L53" s="12"/>
      <c r="M53" s="12"/>
      <c r="N53" s="12"/>
      <c r="O53" s="12"/>
      <c r="P53" s="12"/>
      <c r="Q53" s="12"/>
    </row>
    <row x14ac:dyDescent="0.25" r="54" customHeight="1" ht="18.75">
      <c r="A54" s="1"/>
      <c r="B54" s="10"/>
      <c r="C54" s="10"/>
      <c r="D54" s="12"/>
      <c r="E54" s="1"/>
      <c r="F54" s="12"/>
      <c r="G54" s="4"/>
      <c r="H54" s="4"/>
      <c r="I54" s="4"/>
      <c r="J54" s="4"/>
      <c r="K54" s="12"/>
      <c r="L54" s="12"/>
      <c r="M54" s="12"/>
      <c r="N54" s="12"/>
      <c r="O54" s="12"/>
      <c r="P54" s="12"/>
      <c r="Q54" s="12"/>
    </row>
    <row x14ac:dyDescent="0.25" r="55" customHeight="1" ht="18.75">
      <c r="A55" s="1"/>
      <c r="B55" s="10"/>
      <c r="C55" s="10"/>
      <c r="D55" s="12"/>
      <c r="E55" s="1"/>
      <c r="F55" s="12"/>
      <c r="G55" s="4"/>
      <c r="H55" s="4"/>
      <c r="I55" s="4"/>
      <c r="J55" s="4"/>
      <c r="K55" s="12"/>
      <c r="L55" s="12"/>
      <c r="M55" s="12"/>
      <c r="N55" s="12"/>
      <c r="O55" s="12"/>
      <c r="P55" s="12"/>
      <c r="Q55" s="12"/>
    </row>
    <row x14ac:dyDescent="0.25" r="56" customHeight="1" ht="18.75">
      <c r="A56" s="1"/>
      <c r="B56" s="10"/>
      <c r="C56" s="10"/>
      <c r="D56" s="12"/>
      <c r="E56" s="1"/>
      <c r="F56" s="12"/>
      <c r="G56" s="4"/>
      <c r="H56" s="4"/>
      <c r="I56" s="4"/>
      <c r="J56" s="4"/>
      <c r="K56" s="12"/>
      <c r="L56" s="12"/>
      <c r="M56" s="12"/>
      <c r="N56" s="12"/>
      <c r="O56" s="12"/>
      <c r="P56" s="12"/>
      <c r="Q56" s="12"/>
    </row>
    <row x14ac:dyDescent="0.25" r="57" customHeight="1" ht="18.75">
      <c r="A57" s="1"/>
      <c r="B57" s="10"/>
      <c r="C57" s="10"/>
      <c r="D57" s="12"/>
      <c r="E57" s="1"/>
      <c r="F57" s="12"/>
      <c r="G57" s="4"/>
      <c r="H57" s="4"/>
      <c r="I57" s="4"/>
      <c r="J57" s="4"/>
      <c r="K57" s="12"/>
      <c r="L57" s="12"/>
      <c r="M57" s="12"/>
      <c r="N57" s="12"/>
      <c r="O57" s="12"/>
      <c r="P57" s="12"/>
      <c r="Q57" s="12"/>
    </row>
    <row x14ac:dyDescent="0.25" r="58" customHeight="1" ht="18.75">
      <c r="A58" s="1"/>
      <c r="B58" s="10"/>
      <c r="C58" s="10"/>
      <c r="D58" s="12"/>
      <c r="E58" s="1"/>
      <c r="F58" s="12"/>
      <c r="G58" s="4"/>
      <c r="H58" s="4"/>
      <c r="I58" s="4"/>
      <c r="J58" s="4"/>
      <c r="K58" s="12"/>
      <c r="L58" s="12"/>
      <c r="M58" s="12"/>
      <c r="N58" s="12"/>
      <c r="O58" s="12"/>
      <c r="P58" s="12"/>
      <c r="Q58" s="12"/>
    </row>
    <row x14ac:dyDescent="0.25" r="59" customHeight="1" ht="18.75">
      <c r="A59" s="1"/>
      <c r="B59" s="10"/>
      <c r="C59" s="10"/>
      <c r="D59" s="12"/>
      <c r="E59" s="1"/>
      <c r="F59" s="12"/>
      <c r="G59" s="4"/>
      <c r="H59" s="4"/>
      <c r="I59" s="4"/>
      <c r="J59" s="4"/>
      <c r="K59" s="12"/>
      <c r="L59" s="12"/>
      <c r="M59" s="12"/>
      <c r="N59" s="12"/>
      <c r="O59" s="12"/>
      <c r="P59" s="12"/>
      <c r="Q59" s="12"/>
    </row>
    <row x14ac:dyDescent="0.25" r="60" customHeight="1" ht="18.75">
      <c r="A60" s="1"/>
      <c r="B60" s="10"/>
      <c r="C60" s="10"/>
      <c r="D60" s="12"/>
      <c r="E60" s="1"/>
      <c r="F60" s="12"/>
      <c r="G60" s="4"/>
      <c r="H60" s="4"/>
      <c r="I60" s="4"/>
      <c r="J60" s="4"/>
      <c r="K60" s="12"/>
      <c r="L60" s="12"/>
      <c r="M60" s="12"/>
      <c r="N60" s="12"/>
      <c r="O60" s="12"/>
      <c r="P60" s="12"/>
      <c r="Q60" s="12"/>
    </row>
    <row x14ac:dyDescent="0.25" r="61" customHeight="1" ht="18.75">
      <c r="A61" s="1"/>
      <c r="B61" s="10"/>
      <c r="C61" s="10"/>
      <c r="D61" s="12"/>
      <c r="E61" s="1"/>
      <c r="F61" s="12"/>
      <c r="G61" s="4"/>
      <c r="H61" s="4"/>
      <c r="I61" s="4"/>
      <c r="J61" s="4"/>
      <c r="K61" s="12"/>
      <c r="L61" s="12"/>
      <c r="M61" s="12"/>
      <c r="N61" s="12"/>
      <c r="O61" s="12"/>
      <c r="P61" s="12"/>
      <c r="Q61" s="12"/>
    </row>
    <row x14ac:dyDescent="0.25" r="62" customHeight="1" ht="18.75">
      <c r="A62" s="1"/>
      <c r="B62" s="10"/>
      <c r="C62" s="10"/>
      <c r="D62" s="12"/>
      <c r="E62" s="1"/>
      <c r="F62" s="12"/>
      <c r="G62" s="4"/>
      <c r="H62" s="4"/>
      <c r="I62" s="4"/>
      <c r="J62" s="4"/>
      <c r="K62" s="12"/>
      <c r="L62" s="12"/>
      <c r="M62" s="12"/>
      <c r="N62" s="12"/>
      <c r="O62" s="12"/>
      <c r="P62" s="12"/>
      <c r="Q62" s="12"/>
    </row>
    <row x14ac:dyDescent="0.25" r="63" customHeight="1" ht="18.75">
      <c r="A63" s="1"/>
      <c r="B63" s="10"/>
      <c r="C63" s="10"/>
      <c r="D63" s="12"/>
      <c r="E63" s="1"/>
      <c r="F63" s="12"/>
      <c r="G63" s="4"/>
      <c r="H63" s="4"/>
      <c r="I63" s="4"/>
      <c r="J63" s="4"/>
      <c r="K63" s="12"/>
      <c r="L63" s="12"/>
      <c r="M63" s="12"/>
      <c r="N63" s="12"/>
      <c r="O63" s="12"/>
      <c r="P63" s="12"/>
      <c r="Q63" s="12"/>
    </row>
    <row x14ac:dyDescent="0.25" r="64" customHeight="1" ht="18.75">
      <c r="A64" s="1"/>
      <c r="B64" s="10"/>
      <c r="C64" s="10"/>
      <c r="D64" s="12"/>
      <c r="E64" s="1"/>
      <c r="F64" s="12"/>
      <c r="G64" s="4"/>
      <c r="H64" s="4"/>
      <c r="I64" s="4"/>
      <c r="J64" s="4"/>
      <c r="K64" s="12"/>
      <c r="L64" s="12"/>
      <c r="M64" s="12"/>
      <c r="N64" s="12"/>
      <c r="O64" s="12"/>
      <c r="P64" s="12"/>
      <c r="Q64" s="12"/>
    </row>
    <row x14ac:dyDescent="0.25" r="65" customHeight="1" ht="18.75">
      <c r="A65" s="1"/>
      <c r="B65" s="10"/>
      <c r="C65" s="10"/>
      <c r="D65" s="12"/>
      <c r="E65" s="1"/>
      <c r="F65" s="12"/>
      <c r="G65" s="4"/>
      <c r="H65" s="4"/>
      <c r="I65" s="4"/>
      <c r="J65" s="4"/>
      <c r="K65" s="12"/>
      <c r="L65" s="12"/>
      <c r="M65" s="12"/>
      <c r="N65" s="12"/>
      <c r="O65" s="12"/>
      <c r="P65" s="12"/>
      <c r="Q65" s="12"/>
    </row>
    <row x14ac:dyDescent="0.25" r="66" customHeight="1" ht="18.75">
      <c r="A66" s="1"/>
      <c r="B66" s="10"/>
      <c r="C66" s="10"/>
      <c r="D66" s="12"/>
      <c r="E66" s="1"/>
      <c r="F66" s="12"/>
      <c r="G66" s="4"/>
      <c r="H66" s="4"/>
      <c r="I66" s="4"/>
      <c r="J66" s="4"/>
      <c r="K66" s="12"/>
      <c r="L66" s="12"/>
      <c r="M66" s="12"/>
      <c r="N66" s="12"/>
      <c r="O66" s="12"/>
      <c r="P66" s="12"/>
      <c r="Q66" s="12"/>
    </row>
    <row x14ac:dyDescent="0.25" r="67" customHeight="1" ht="18.75">
      <c r="A67" s="1"/>
      <c r="B67" s="10"/>
      <c r="C67" s="10"/>
      <c r="D67" s="12"/>
      <c r="E67" s="1"/>
      <c r="F67" s="12"/>
      <c r="G67" s="4"/>
      <c r="H67" s="4"/>
      <c r="I67" s="4"/>
      <c r="J67" s="4"/>
      <c r="K67" s="12"/>
      <c r="L67" s="12"/>
      <c r="M67" s="12"/>
      <c r="N67" s="12"/>
      <c r="O67" s="12"/>
      <c r="P67" s="12"/>
      <c r="Q67" s="12"/>
    </row>
    <row x14ac:dyDescent="0.25" r="68" customHeight="1" ht="18.75">
      <c r="A68" s="1"/>
      <c r="B68" s="10"/>
      <c r="C68" s="10"/>
      <c r="D68" s="12"/>
      <c r="E68" s="1"/>
      <c r="F68" s="12"/>
      <c r="G68" s="4"/>
      <c r="H68" s="4"/>
      <c r="I68" s="4"/>
      <c r="J68" s="4"/>
      <c r="K68" s="12"/>
      <c r="L68" s="12"/>
      <c r="M68" s="12"/>
      <c r="N68" s="12"/>
      <c r="O68" s="12"/>
      <c r="P68" s="12"/>
      <c r="Q68" s="12"/>
    </row>
    <row x14ac:dyDescent="0.25" r="69" customHeight="1" ht="18.75">
      <c r="A69" s="1"/>
      <c r="B69" s="10"/>
      <c r="C69" s="10"/>
      <c r="D69" s="12"/>
      <c r="E69" s="1"/>
      <c r="F69" s="12"/>
      <c r="G69" s="4"/>
      <c r="H69" s="4"/>
      <c r="I69" s="4"/>
      <c r="J69" s="4"/>
      <c r="K69" s="12"/>
      <c r="L69" s="12"/>
      <c r="M69" s="12"/>
      <c r="N69" s="12"/>
      <c r="O69" s="12"/>
      <c r="P69" s="12"/>
      <c r="Q69" s="12"/>
    </row>
    <row x14ac:dyDescent="0.25" r="70" customHeight="1" ht="18.75">
      <c r="A70" s="1"/>
      <c r="B70" s="10"/>
      <c r="C70" s="10"/>
      <c r="D70" s="12"/>
      <c r="E70" s="1"/>
      <c r="F70" s="12"/>
      <c r="G70" s="4"/>
      <c r="H70" s="4"/>
      <c r="I70" s="4"/>
      <c r="J70" s="4"/>
      <c r="K70" s="12"/>
      <c r="L70" s="12"/>
      <c r="M70" s="12"/>
      <c r="N70" s="12"/>
      <c r="O70" s="12"/>
      <c r="P70" s="12"/>
      <c r="Q70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70"/>
  <sheetViews>
    <sheetView workbookViewId="0"/>
  </sheetViews>
  <sheetFormatPr defaultRowHeight="15" x14ac:dyDescent="0.25"/>
  <cols>
    <col min="1" max="1" style="13" width="9.290714285714287" customWidth="1" bestFit="1"/>
    <col min="2" max="2" style="14" width="11.862142857142858" customWidth="1" bestFit="1"/>
    <col min="3" max="3" style="14" width="11.862142857142858" customWidth="1" bestFit="1"/>
    <col min="4" max="4" style="15" width="12.862142857142858" customWidth="1" bestFit="1"/>
    <col min="5" max="5" style="13" width="2.4335714285714283" customWidth="1" bestFit="1"/>
    <col min="6" max="6" style="16" width="9.147857142857141" customWidth="1" bestFit="1"/>
    <col min="7" max="7" style="17" width="9.147857142857141" customWidth="1" bestFit="1"/>
    <col min="8" max="8" style="17" width="9.147857142857141" customWidth="1" bestFit="1"/>
    <col min="9" max="9" style="17" width="9.147857142857141" customWidth="1" bestFit="1"/>
    <col min="10" max="10" style="17" width="9.147857142857141" customWidth="1" bestFit="1"/>
    <col min="11" max="11" style="16" width="9.290714285714287" customWidth="1" bestFit="1"/>
    <col min="12" max="12" style="16" width="13.576428571428572" customWidth="1" bestFit="1"/>
    <col min="13" max="13" style="16" width="13.576428571428572" customWidth="1" bestFit="1"/>
    <col min="14" max="14" style="16" width="13.576428571428572" customWidth="1" bestFit="1"/>
    <col min="15" max="15" style="16" width="13.576428571428572" customWidth="1" bestFit="1"/>
    <col min="16" max="16" style="16" width="13.576428571428572" customWidth="1" bestFit="1"/>
  </cols>
  <sheetData>
    <row x14ac:dyDescent="0.25" r="1" customHeight="1" ht="18.75">
      <c r="A1" s="1"/>
      <c r="B1" s="2" t="s">
        <v>0</v>
      </c>
      <c r="C1" s="2" t="s">
        <v>1</v>
      </c>
      <c r="D1" s="3" t="s">
        <v>2</v>
      </c>
      <c r="E1" s="1"/>
      <c r="F1" s="4" t="s">
        <v>3</v>
      </c>
      <c r="G1" s="4" t="s">
        <v>4</v>
      </c>
      <c r="H1" s="4" t="s">
        <v>5</v>
      </c>
      <c r="I1" s="4" t="s">
        <v>6</v>
      </c>
      <c r="J1" s="4"/>
      <c r="K1" s="4"/>
      <c r="L1" s="12"/>
      <c r="M1" s="12"/>
      <c r="N1" s="12"/>
      <c r="O1" s="12"/>
      <c r="P1" s="12"/>
    </row>
    <row x14ac:dyDescent="0.25" r="2" customHeight="1" ht="18.75">
      <c r="A2" s="5" t="s">
        <v>7</v>
      </c>
      <c r="B2" s="2">
        <v>0.000001</v>
      </c>
      <c r="C2" s="2">
        <v>1e-8</v>
      </c>
      <c r="D2" s="3">
        <v>2000</v>
      </c>
      <c r="E2" s="1"/>
      <c r="F2" s="4">
        <v>6.1454</v>
      </c>
      <c r="G2" s="4">
        <v>6.4842</v>
      </c>
      <c r="H2" s="4">
        <v>3.9175</v>
      </c>
      <c r="I2" s="4">
        <v>6.0682</v>
      </c>
      <c r="J2" s="4">
        <f>AVERAGEA(F2:I2)</f>
      </c>
      <c r="K2" s="4"/>
      <c r="L2" s="12"/>
      <c r="M2" s="12"/>
      <c r="N2" s="12"/>
      <c r="O2" s="12"/>
      <c r="P2" s="12"/>
    </row>
    <row x14ac:dyDescent="0.25" r="3" customHeight="1" ht="18.75">
      <c r="A3" s="1"/>
      <c r="B3" s="2">
        <v>0.000001</v>
      </c>
      <c r="C3" s="2">
        <v>4e-8</v>
      </c>
      <c r="D3" s="3">
        <v>2000</v>
      </c>
      <c r="E3" s="1"/>
      <c r="F3" s="4">
        <v>6.3331</v>
      </c>
      <c r="G3" s="4">
        <v>6.3859</v>
      </c>
      <c r="H3" s="4">
        <v>5.7042</v>
      </c>
      <c r="I3" s="4">
        <v>5.3735</v>
      </c>
      <c r="J3" s="4">
        <f>AVERAGEA(F3:I3)</f>
      </c>
      <c r="K3" s="4"/>
      <c r="L3" s="12"/>
      <c r="M3" s="12"/>
      <c r="N3" s="12"/>
      <c r="O3" s="12"/>
      <c r="P3" s="12"/>
    </row>
    <row x14ac:dyDescent="0.25" r="4" customHeight="1" ht="18.75">
      <c r="A4" s="1"/>
      <c r="B4" s="2">
        <v>0.000001</v>
      </c>
      <c r="C4" s="2">
        <v>0.000001</v>
      </c>
      <c r="D4" s="3">
        <v>2000</v>
      </c>
      <c r="E4" s="1"/>
      <c r="F4" s="4">
        <v>6.2934</v>
      </c>
      <c r="G4" s="4">
        <v>7.1176</v>
      </c>
      <c r="H4" s="4">
        <v>6.0929</v>
      </c>
      <c r="I4" s="4">
        <v>4.7815</v>
      </c>
      <c r="J4" s="4">
        <f>AVERAGEA(F4:I4)</f>
      </c>
      <c r="K4" s="4"/>
      <c r="L4" s="12"/>
      <c r="M4" s="12"/>
      <c r="N4" s="12"/>
      <c r="O4" s="12"/>
      <c r="P4" s="12"/>
    </row>
    <row x14ac:dyDescent="0.25" r="5" customHeight="1" ht="18.75">
      <c r="A5" s="1"/>
      <c r="B5" s="2">
        <v>0.000001</v>
      </c>
      <c r="C5" s="2">
        <v>0.00001</v>
      </c>
      <c r="D5" s="3">
        <v>2000</v>
      </c>
      <c r="E5" s="1"/>
      <c r="F5" s="4">
        <v>7.1707</v>
      </c>
      <c r="G5" s="4">
        <v>6.9096</v>
      </c>
      <c r="H5" s="4">
        <v>7.4983</v>
      </c>
      <c r="I5" s="4">
        <v>7.3057</v>
      </c>
      <c r="J5" s="4">
        <f>AVERAGEA(F5:I5)</f>
      </c>
      <c r="K5" s="4"/>
      <c r="L5" s="12"/>
      <c r="M5" s="12"/>
      <c r="N5" s="12"/>
      <c r="O5" s="12"/>
      <c r="P5" s="12"/>
    </row>
    <row x14ac:dyDescent="0.25" r="6" customHeight="1" ht="18.75">
      <c r="A6" s="1"/>
      <c r="B6" s="2">
        <v>0.00001</v>
      </c>
      <c r="C6" s="2">
        <v>1e-8</v>
      </c>
      <c r="D6" s="3">
        <v>2000</v>
      </c>
      <c r="E6" s="1"/>
      <c r="F6" s="4">
        <v>6.3155</v>
      </c>
      <c r="G6" s="4">
        <v>6.5348</v>
      </c>
      <c r="H6" s="4">
        <v>6.1628</v>
      </c>
      <c r="I6" s="4">
        <v>6.5868</v>
      </c>
      <c r="J6" s="4">
        <f>AVERAGEA(F6:I6)</f>
      </c>
      <c r="K6" s="4"/>
      <c r="L6" s="12"/>
      <c r="M6" s="12"/>
      <c r="N6" s="12"/>
      <c r="O6" s="12"/>
      <c r="P6" s="12"/>
    </row>
    <row x14ac:dyDescent="0.25" r="7" customHeight="1" ht="18.75">
      <c r="A7" s="1"/>
      <c r="B7" s="2">
        <v>0.00001</v>
      </c>
      <c r="C7" s="2">
        <v>4e-8</v>
      </c>
      <c r="D7" s="3">
        <v>2000</v>
      </c>
      <c r="E7" s="1"/>
      <c r="F7" s="4">
        <v>6.7208</v>
      </c>
      <c r="G7" s="4">
        <v>6.6018</v>
      </c>
      <c r="H7" s="4">
        <v>5.6975</v>
      </c>
      <c r="I7" s="4">
        <v>6.2657</v>
      </c>
      <c r="J7" s="4">
        <f>AVERAGEA(F7:I7)</f>
      </c>
      <c r="K7" s="4"/>
      <c r="L7" s="12"/>
      <c r="M7" s="12"/>
      <c r="N7" s="12"/>
      <c r="O7" s="12"/>
      <c r="P7" s="12"/>
    </row>
    <row x14ac:dyDescent="0.25" r="8" customHeight="1" ht="18.75">
      <c r="A8" s="1"/>
      <c r="B8" s="2">
        <v>0.00001</v>
      </c>
      <c r="C8" s="2">
        <v>0.000001</v>
      </c>
      <c r="D8" s="3">
        <v>2000</v>
      </c>
      <c r="E8" s="1"/>
      <c r="F8" s="4">
        <v>6.2401</v>
      </c>
      <c r="G8" s="4">
        <v>6.8437</v>
      </c>
      <c r="H8" s="4">
        <v>11.0339</v>
      </c>
      <c r="I8" s="4">
        <v>6.1172</v>
      </c>
      <c r="J8" s="4">
        <f>AVERAGEA(F8:I8)</f>
      </c>
      <c r="K8" s="4"/>
      <c r="L8" s="12"/>
      <c r="M8" s="12"/>
      <c r="N8" s="12"/>
      <c r="O8" s="12"/>
      <c r="P8" s="12"/>
    </row>
    <row x14ac:dyDescent="0.25" r="9" customHeight="1" ht="18.75">
      <c r="A9" s="1"/>
      <c r="B9" s="2">
        <v>0.00001</v>
      </c>
      <c r="C9" s="2">
        <v>0.00001</v>
      </c>
      <c r="D9" s="3">
        <v>2000</v>
      </c>
      <c r="E9" s="1"/>
      <c r="F9" s="4">
        <v>8.4467</v>
      </c>
      <c r="G9" s="4">
        <v>8.035</v>
      </c>
      <c r="H9" s="4">
        <v>9.0199</v>
      </c>
      <c r="I9" s="4">
        <v>7.6671</v>
      </c>
      <c r="J9" s="4">
        <f>AVERAGEA(F9:I9)</f>
      </c>
      <c r="K9" s="4"/>
      <c r="L9" s="12"/>
      <c r="M9" s="12"/>
      <c r="N9" s="12"/>
      <c r="O9" s="12"/>
      <c r="P9" s="12"/>
    </row>
    <row x14ac:dyDescent="0.25" r="10" customHeight="1" ht="18.75">
      <c r="A10" s="1"/>
      <c r="B10" s="7">
        <v>0.00005</v>
      </c>
      <c r="C10" s="7">
        <v>1e-8</v>
      </c>
      <c r="D10" s="8">
        <v>2000</v>
      </c>
      <c r="E10" s="6"/>
      <c r="F10" s="9">
        <v>10.1177</v>
      </c>
      <c r="G10" s="9"/>
      <c r="H10" s="9"/>
      <c r="I10" s="9"/>
      <c r="J10" s="4"/>
      <c r="K10" s="4"/>
      <c r="L10" s="12"/>
      <c r="M10" s="12"/>
      <c r="N10" s="12"/>
      <c r="O10" s="12"/>
      <c r="P10" s="12"/>
    </row>
    <row x14ac:dyDescent="0.25" r="11" customHeight="1" ht="18.75">
      <c r="A11" s="1"/>
      <c r="B11" s="7">
        <v>0.00005</v>
      </c>
      <c r="C11" s="7">
        <v>4e-8</v>
      </c>
      <c r="D11" s="8">
        <v>2000</v>
      </c>
      <c r="E11" s="6"/>
      <c r="F11" s="9">
        <v>9.5761</v>
      </c>
      <c r="G11" s="9"/>
      <c r="H11" s="9"/>
      <c r="I11" s="9"/>
      <c r="J11" s="4"/>
      <c r="K11" s="4"/>
      <c r="L11" s="12"/>
      <c r="M11" s="12"/>
      <c r="N11" s="12"/>
      <c r="O11" s="12"/>
      <c r="P11" s="12"/>
    </row>
    <row x14ac:dyDescent="0.25" r="12" customHeight="1" ht="18.75">
      <c r="A12" s="6"/>
      <c r="B12" s="7">
        <v>0.00005</v>
      </c>
      <c r="C12" s="7">
        <v>0.000001</v>
      </c>
      <c r="D12" s="8">
        <v>2000</v>
      </c>
      <c r="E12" s="6"/>
      <c r="F12" s="9">
        <v>10.3205</v>
      </c>
      <c r="G12" s="9"/>
      <c r="H12" s="9"/>
      <c r="I12" s="9"/>
      <c r="J12" s="4"/>
      <c r="K12" s="4"/>
      <c r="L12" s="12"/>
      <c r="M12" s="12"/>
      <c r="N12" s="12"/>
      <c r="O12" s="12"/>
      <c r="P12" s="12"/>
    </row>
    <row x14ac:dyDescent="0.25" r="13" customHeight="1" ht="18.75">
      <c r="A13" s="6"/>
      <c r="B13" s="7">
        <v>0.00005</v>
      </c>
      <c r="C13" s="7">
        <v>0.00001</v>
      </c>
      <c r="D13" s="8">
        <v>2000</v>
      </c>
      <c r="E13" s="6"/>
      <c r="F13" s="9">
        <v>11.4749</v>
      </c>
      <c r="G13" s="9"/>
      <c r="H13" s="9"/>
      <c r="I13" s="9"/>
      <c r="J13" s="4"/>
      <c r="K13" s="4"/>
      <c r="L13" s="12"/>
      <c r="M13" s="12"/>
      <c r="N13" s="12"/>
      <c r="O13" s="12"/>
      <c r="P13" s="12"/>
    </row>
    <row x14ac:dyDescent="0.25" r="14" customHeight="1" ht="18.75">
      <c r="A14" s="6"/>
      <c r="B14" s="2"/>
      <c r="C14" s="10"/>
      <c r="D14" s="11"/>
      <c r="E14" s="1"/>
      <c r="F14" s="12"/>
      <c r="G14" s="4"/>
      <c r="H14" s="4"/>
      <c r="I14" s="4"/>
      <c r="J14" s="4"/>
      <c r="K14" s="4"/>
      <c r="L14" s="12"/>
      <c r="M14" s="12"/>
      <c r="N14" s="12"/>
      <c r="O14" s="12"/>
      <c r="P14" s="12"/>
    </row>
    <row x14ac:dyDescent="0.25" r="15" customHeight="1" ht="18.75">
      <c r="A15" s="6"/>
      <c r="B15" s="2"/>
      <c r="C15" s="10"/>
      <c r="D15" s="11"/>
      <c r="E15" s="1"/>
      <c r="F15" s="12"/>
      <c r="G15" s="4"/>
      <c r="H15" s="4"/>
      <c r="I15" s="4"/>
      <c r="J15" s="4"/>
      <c r="K15" s="4"/>
      <c r="L15" s="12"/>
      <c r="M15" s="12"/>
      <c r="N15" s="12"/>
      <c r="O15" s="12"/>
      <c r="P15" s="12"/>
    </row>
    <row x14ac:dyDescent="0.25" r="16" customHeight="1" ht="18.75">
      <c r="A16" s="1"/>
      <c r="B16" s="2"/>
      <c r="C16" s="10"/>
      <c r="D16" s="11"/>
      <c r="E16" s="1"/>
      <c r="F16" s="12"/>
      <c r="G16" s="4"/>
      <c r="H16" s="4"/>
      <c r="I16" s="4"/>
      <c r="J16" s="4"/>
      <c r="K16" s="4"/>
      <c r="L16" s="12"/>
      <c r="M16" s="12"/>
      <c r="N16" s="12"/>
      <c r="O16" s="12"/>
      <c r="P16" s="12"/>
    </row>
    <row x14ac:dyDescent="0.25" r="17" customHeight="1" ht="18.75">
      <c r="A17" s="5" t="s">
        <v>9</v>
      </c>
      <c r="B17" s="2">
        <v>0.000001</v>
      </c>
      <c r="C17" s="10"/>
      <c r="D17" s="3">
        <v>2000</v>
      </c>
      <c r="E17" s="1"/>
      <c r="F17" s="4">
        <v>5.7771</v>
      </c>
      <c r="G17" s="4">
        <v>5.965</v>
      </c>
      <c r="H17" s="4">
        <v>6.4216</v>
      </c>
      <c r="I17" s="4">
        <v>6.5784</v>
      </c>
      <c r="J17" s="4">
        <f>AVERAGEA(F17:I17)</f>
      </c>
      <c r="K17" s="18">
        <v>6.5097</v>
      </c>
      <c r="L17" s="18">
        <v>6.6914</v>
      </c>
      <c r="M17" s="18">
        <v>6.154</v>
      </c>
      <c r="N17" s="18">
        <v>6.7316</v>
      </c>
      <c r="O17" s="18">
        <v>6.6829</v>
      </c>
      <c r="P17" s="18">
        <f>AVERAGE(J17:O17)</f>
      </c>
    </row>
    <row x14ac:dyDescent="0.25" r="18" customHeight="1" ht="18.75">
      <c r="A18" s="1"/>
      <c r="B18" s="2">
        <v>0.00001</v>
      </c>
      <c r="C18" s="10"/>
      <c r="D18" s="3">
        <v>2000</v>
      </c>
      <c r="E18" s="1"/>
      <c r="F18" s="4">
        <v>7.5913</v>
      </c>
      <c r="G18" s="4">
        <v>7.4716</v>
      </c>
      <c r="H18" s="4">
        <v>7.0274</v>
      </c>
      <c r="I18" s="4">
        <v>7.1854</v>
      </c>
      <c r="J18" s="4">
        <f>AVERAGEA(F18:I18)</f>
      </c>
      <c r="K18" s="18">
        <v>8.0603</v>
      </c>
      <c r="L18" s="18">
        <v>7.3576</v>
      </c>
      <c r="M18" s="18">
        <v>7.4596</v>
      </c>
      <c r="N18" s="18">
        <v>7.454</v>
      </c>
      <c r="O18" s="18">
        <v>7.1515</v>
      </c>
      <c r="P18" s="18">
        <f>AVERAGE(J18:O18)</f>
      </c>
    </row>
    <row x14ac:dyDescent="0.25" r="19" customHeight="1" ht="18.75">
      <c r="A19" s="5" t="s">
        <v>10</v>
      </c>
      <c r="B19" s="2">
        <v>0.000001</v>
      </c>
      <c r="C19" s="10"/>
      <c r="D19" s="3">
        <v>2000</v>
      </c>
      <c r="E19" s="1"/>
      <c r="F19" s="4">
        <v>5.2213</v>
      </c>
      <c r="G19" s="4">
        <v>6.851</v>
      </c>
      <c r="H19" s="4">
        <v>6.2807</v>
      </c>
      <c r="I19" s="4">
        <v>6.4598</v>
      </c>
      <c r="J19" s="4">
        <f>AVERAGEA(F19:I19)</f>
      </c>
      <c r="K19" s="18">
        <v>4.2652</v>
      </c>
      <c r="L19" s="18">
        <v>5.5493</v>
      </c>
      <c r="M19" s="18">
        <v>5.7009</v>
      </c>
      <c r="N19" s="18">
        <v>5.7785</v>
      </c>
      <c r="O19" s="18">
        <v>7.0121</v>
      </c>
      <c r="P19" s="18">
        <f>AVERAGE(J19:O19)</f>
      </c>
    </row>
    <row x14ac:dyDescent="0.25" r="20" customHeight="1" ht="18.75">
      <c r="A20" s="1"/>
      <c r="B20" s="2">
        <v>0.00001</v>
      </c>
      <c r="C20" s="10"/>
      <c r="D20" s="3">
        <v>2000</v>
      </c>
      <c r="E20" s="1"/>
      <c r="F20" s="4">
        <v>7.7881</v>
      </c>
      <c r="G20" s="4">
        <v>7.7317</v>
      </c>
      <c r="H20" s="4">
        <v>7.3271</v>
      </c>
      <c r="I20" s="4">
        <v>8.2717</v>
      </c>
      <c r="J20" s="4">
        <f>AVERAGEA(F20:I20)</f>
      </c>
      <c r="K20" s="18">
        <v>8.0398</v>
      </c>
      <c r="L20" s="18">
        <v>7.5278</v>
      </c>
      <c r="M20" s="18">
        <v>7.233</v>
      </c>
      <c r="N20" s="18">
        <v>7.2817</v>
      </c>
      <c r="O20" s="18">
        <v>8.4786</v>
      </c>
      <c r="P20" s="18">
        <f>AVERAGE(J20:O20)</f>
      </c>
    </row>
    <row x14ac:dyDescent="0.25" r="21" customHeight="1" ht="18.75">
      <c r="A21" s="1"/>
      <c r="B21" s="10"/>
      <c r="C21" s="10"/>
      <c r="D21" s="11"/>
      <c r="E21" s="1"/>
      <c r="F21" s="12"/>
      <c r="G21" s="4"/>
      <c r="H21" s="4"/>
      <c r="I21" s="4"/>
      <c r="J21" s="4"/>
      <c r="K21" s="12"/>
      <c r="L21" s="12"/>
      <c r="M21" s="12"/>
      <c r="N21" s="12"/>
      <c r="O21" s="12"/>
      <c r="P21" s="12"/>
    </row>
    <row x14ac:dyDescent="0.25" r="22" customHeight="1" ht="18.75">
      <c r="A22" s="1"/>
      <c r="B22" s="10"/>
      <c r="C22" s="10"/>
      <c r="D22" s="11"/>
      <c r="E22" s="1"/>
      <c r="F22" s="12"/>
      <c r="G22" s="4"/>
      <c r="H22" s="4"/>
      <c r="I22" s="4"/>
      <c r="J22" s="4"/>
      <c r="K22" s="12"/>
      <c r="L22" s="12"/>
      <c r="M22" s="12"/>
      <c r="N22" s="12"/>
      <c r="O22" s="12"/>
      <c r="P22" s="12"/>
    </row>
    <row x14ac:dyDescent="0.25" r="23" customHeight="1" ht="18.75">
      <c r="A23" s="1"/>
      <c r="B23" s="10"/>
      <c r="C23" s="10"/>
      <c r="D23" s="11"/>
      <c r="E23" s="1"/>
      <c r="F23" s="12"/>
      <c r="G23" s="4"/>
      <c r="H23" s="4"/>
      <c r="I23" s="4"/>
      <c r="J23" s="4"/>
      <c r="K23" s="12"/>
      <c r="L23" s="12"/>
      <c r="M23" s="12"/>
      <c r="N23" s="12"/>
      <c r="O23" s="12"/>
      <c r="P23" s="12"/>
    </row>
    <row x14ac:dyDescent="0.25" r="24" customHeight="1" ht="18.75">
      <c r="A24" s="1"/>
      <c r="B24" s="10"/>
      <c r="C24" s="10"/>
      <c r="D24" s="11"/>
      <c r="E24" s="1"/>
      <c r="F24" s="12"/>
      <c r="G24" s="4"/>
      <c r="H24" s="4"/>
      <c r="I24" s="4"/>
      <c r="J24" s="4"/>
      <c r="K24" s="12"/>
      <c r="L24" s="12"/>
      <c r="M24" s="12"/>
      <c r="N24" s="12"/>
      <c r="O24" s="12"/>
      <c r="P24" s="12"/>
    </row>
    <row x14ac:dyDescent="0.25" r="25" customHeight="1" ht="18.75">
      <c r="A25" s="1"/>
      <c r="B25" s="10"/>
      <c r="C25" s="10"/>
      <c r="D25" s="11"/>
      <c r="E25" s="1"/>
      <c r="F25" s="12"/>
      <c r="G25" s="4"/>
      <c r="H25" s="4"/>
      <c r="I25" s="4"/>
      <c r="J25" s="4"/>
      <c r="K25" s="12"/>
      <c r="L25" s="12"/>
      <c r="M25" s="12"/>
      <c r="N25" s="12"/>
      <c r="O25" s="12"/>
      <c r="P25" s="12"/>
    </row>
    <row x14ac:dyDescent="0.25" r="26" customHeight="1" ht="18.75">
      <c r="A26" s="1"/>
      <c r="B26" s="10"/>
      <c r="C26" s="10"/>
      <c r="D26" s="11"/>
      <c r="E26" s="1"/>
      <c r="F26" s="12"/>
      <c r="G26" s="4"/>
      <c r="H26" s="4"/>
      <c r="I26" s="4"/>
      <c r="J26" s="4"/>
      <c r="K26" s="12"/>
      <c r="L26" s="12"/>
      <c r="M26" s="12"/>
      <c r="N26" s="12"/>
      <c r="O26" s="12"/>
      <c r="P26" s="12"/>
    </row>
    <row x14ac:dyDescent="0.25" r="27" customHeight="1" ht="18.75">
      <c r="A27" s="1"/>
      <c r="B27" s="10"/>
      <c r="C27" s="10"/>
      <c r="D27" s="11"/>
      <c r="E27" s="1"/>
      <c r="F27" s="12"/>
      <c r="G27" s="4"/>
      <c r="H27" s="4"/>
      <c r="I27" s="4"/>
      <c r="J27" s="4"/>
      <c r="K27" s="12"/>
      <c r="L27" s="12"/>
      <c r="M27" s="12"/>
      <c r="N27" s="12"/>
      <c r="O27" s="12"/>
      <c r="P27" s="12"/>
    </row>
    <row x14ac:dyDescent="0.25" r="28" customHeight="1" ht="18.75">
      <c r="A28" s="1"/>
      <c r="B28" s="10"/>
      <c r="C28" s="10"/>
      <c r="D28" s="11"/>
      <c r="E28" s="1"/>
      <c r="F28" s="12"/>
      <c r="G28" s="4"/>
      <c r="H28" s="4"/>
      <c r="I28" s="4"/>
      <c r="J28" s="4"/>
      <c r="K28" s="12"/>
      <c r="L28" s="12"/>
      <c r="M28" s="12"/>
      <c r="N28" s="12"/>
      <c r="O28" s="12"/>
      <c r="P28" s="12"/>
    </row>
    <row x14ac:dyDescent="0.25" r="29" customHeight="1" ht="18.75">
      <c r="A29" s="1"/>
      <c r="B29" s="10"/>
      <c r="C29" s="10"/>
      <c r="D29" s="11"/>
      <c r="E29" s="1"/>
      <c r="F29" s="12"/>
      <c r="G29" s="4"/>
      <c r="H29" s="4"/>
      <c r="I29" s="4"/>
      <c r="J29" s="4"/>
      <c r="K29" s="12"/>
      <c r="L29" s="12"/>
      <c r="M29" s="12"/>
      <c r="N29" s="12"/>
      <c r="O29" s="12"/>
      <c r="P29" s="12"/>
    </row>
    <row x14ac:dyDescent="0.25" r="30" customHeight="1" ht="18.75">
      <c r="A30" s="1"/>
      <c r="B30" s="10"/>
      <c r="C30" s="10"/>
      <c r="D30" s="11"/>
      <c r="E30" s="1"/>
      <c r="F30" s="12"/>
      <c r="G30" s="4"/>
      <c r="H30" s="4"/>
      <c r="I30" s="4"/>
      <c r="J30" s="4"/>
      <c r="K30" s="12"/>
      <c r="L30" s="12"/>
      <c r="M30" s="12"/>
      <c r="N30" s="12"/>
      <c r="O30" s="12"/>
      <c r="P30" s="12"/>
    </row>
    <row x14ac:dyDescent="0.25" r="31" customHeight="1" ht="18.75">
      <c r="A31" s="1"/>
      <c r="B31" s="10"/>
      <c r="C31" s="10"/>
      <c r="D31" s="11"/>
      <c r="E31" s="1"/>
      <c r="F31" s="12"/>
      <c r="G31" s="4"/>
      <c r="H31" s="4"/>
      <c r="I31" s="4"/>
      <c r="J31" s="4"/>
      <c r="K31" s="12"/>
      <c r="L31" s="12"/>
      <c r="M31" s="12"/>
      <c r="N31" s="12"/>
      <c r="O31" s="12"/>
      <c r="P31" s="12"/>
    </row>
    <row x14ac:dyDescent="0.25" r="32" customHeight="1" ht="18.75">
      <c r="A32" s="1"/>
      <c r="B32" s="10"/>
      <c r="C32" s="10"/>
      <c r="D32" s="11"/>
      <c r="E32" s="1"/>
      <c r="F32" s="12"/>
      <c r="G32" s="4"/>
      <c r="H32" s="4"/>
      <c r="I32" s="4"/>
      <c r="J32" s="4"/>
      <c r="K32" s="12"/>
      <c r="L32" s="12"/>
      <c r="M32" s="12"/>
      <c r="N32" s="12"/>
      <c r="O32" s="12"/>
      <c r="P32" s="12"/>
    </row>
    <row x14ac:dyDescent="0.25" r="33" customHeight="1" ht="18.75">
      <c r="A33" s="1"/>
      <c r="B33" s="10"/>
      <c r="C33" s="10"/>
      <c r="D33" s="11"/>
      <c r="E33" s="1"/>
      <c r="F33" s="12"/>
      <c r="G33" s="4"/>
      <c r="H33" s="4"/>
      <c r="I33" s="4"/>
      <c r="J33" s="4"/>
      <c r="K33" s="12"/>
      <c r="L33" s="12"/>
      <c r="M33" s="12"/>
      <c r="N33" s="12"/>
      <c r="O33" s="12"/>
      <c r="P33" s="12"/>
    </row>
    <row x14ac:dyDescent="0.25" r="34" customHeight="1" ht="18.75">
      <c r="A34" s="1"/>
      <c r="B34" s="10"/>
      <c r="C34" s="10"/>
      <c r="D34" s="11"/>
      <c r="E34" s="1"/>
      <c r="F34" s="12"/>
      <c r="G34" s="4"/>
      <c r="H34" s="4"/>
      <c r="I34" s="4"/>
      <c r="J34" s="4"/>
      <c r="K34" s="12"/>
      <c r="L34" s="12"/>
      <c r="M34" s="12"/>
      <c r="N34" s="12"/>
      <c r="O34" s="12"/>
      <c r="P34" s="12"/>
    </row>
    <row x14ac:dyDescent="0.25" r="35" customHeight="1" ht="18.75">
      <c r="A35" s="1"/>
      <c r="B35" s="10"/>
      <c r="C35" s="10"/>
      <c r="D35" s="11"/>
      <c r="E35" s="1"/>
      <c r="F35" s="12"/>
      <c r="G35" s="4"/>
      <c r="H35" s="4"/>
      <c r="I35" s="4"/>
      <c r="J35" s="4"/>
      <c r="K35" s="12"/>
      <c r="L35" s="12"/>
      <c r="M35" s="12"/>
      <c r="N35" s="12"/>
      <c r="O35" s="12"/>
      <c r="P35" s="12"/>
    </row>
    <row x14ac:dyDescent="0.25" r="36" customHeight="1" ht="18.75">
      <c r="A36" s="1"/>
      <c r="B36" s="10"/>
      <c r="C36" s="10"/>
      <c r="D36" s="11"/>
      <c r="E36" s="1"/>
      <c r="F36" s="12"/>
      <c r="G36" s="4"/>
      <c r="H36" s="4"/>
      <c r="I36" s="4"/>
      <c r="J36" s="4"/>
      <c r="K36" s="12"/>
      <c r="L36" s="12"/>
      <c r="M36" s="12"/>
      <c r="N36" s="12"/>
      <c r="O36" s="12"/>
      <c r="P36" s="12"/>
    </row>
    <row x14ac:dyDescent="0.25" r="37" customHeight="1" ht="18.75">
      <c r="A37" s="1"/>
      <c r="B37" s="10"/>
      <c r="C37" s="10"/>
      <c r="D37" s="11"/>
      <c r="E37" s="1"/>
      <c r="F37" s="12"/>
      <c r="G37" s="4"/>
      <c r="H37" s="4"/>
      <c r="I37" s="4"/>
      <c r="J37" s="4"/>
      <c r="K37" s="12"/>
      <c r="L37" s="12"/>
      <c r="M37" s="12"/>
      <c r="N37" s="12"/>
      <c r="O37" s="12"/>
      <c r="P37" s="12"/>
    </row>
    <row x14ac:dyDescent="0.25" r="38" customHeight="1" ht="18.75">
      <c r="A38" s="1"/>
      <c r="B38" s="10"/>
      <c r="C38" s="10"/>
      <c r="D38" s="11"/>
      <c r="E38" s="1"/>
      <c r="F38" s="12"/>
      <c r="G38" s="4"/>
      <c r="H38" s="4"/>
      <c r="I38" s="4"/>
      <c r="J38" s="4"/>
      <c r="K38" s="12"/>
      <c r="L38" s="12"/>
      <c r="M38" s="12"/>
      <c r="N38" s="12"/>
      <c r="O38" s="12"/>
      <c r="P38" s="12"/>
    </row>
    <row x14ac:dyDescent="0.25" r="39" customHeight="1" ht="18.75">
      <c r="A39" s="1"/>
      <c r="B39" s="10"/>
      <c r="C39" s="10"/>
      <c r="D39" s="11"/>
      <c r="E39" s="1"/>
      <c r="F39" s="12"/>
      <c r="G39" s="4"/>
      <c r="H39" s="4"/>
      <c r="I39" s="4"/>
      <c r="J39" s="4"/>
      <c r="K39" s="12"/>
      <c r="L39" s="12"/>
      <c r="M39" s="12"/>
      <c r="N39" s="12"/>
      <c r="O39" s="12"/>
      <c r="P39" s="12"/>
    </row>
    <row x14ac:dyDescent="0.25" r="40" customHeight="1" ht="18.75">
      <c r="A40" s="1"/>
      <c r="B40" s="10"/>
      <c r="C40" s="10"/>
      <c r="D40" s="11"/>
      <c r="E40" s="1"/>
      <c r="F40" s="12"/>
      <c r="G40" s="4"/>
      <c r="H40" s="4"/>
      <c r="I40" s="4"/>
      <c r="J40" s="4"/>
      <c r="K40" s="12"/>
      <c r="L40" s="12"/>
      <c r="M40" s="12"/>
      <c r="N40" s="12"/>
      <c r="O40" s="12"/>
      <c r="P40" s="12"/>
    </row>
    <row x14ac:dyDescent="0.25" r="41" customHeight="1" ht="18.75">
      <c r="A41" s="1"/>
      <c r="B41" s="10"/>
      <c r="C41" s="10"/>
      <c r="D41" s="11"/>
      <c r="E41" s="1"/>
      <c r="F41" s="12"/>
      <c r="G41" s="4"/>
      <c r="H41" s="4"/>
      <c r="I41" s="4"/>
      <c r="J41" s="4"/>
      <c r="K41" s="12"/>
      <c r="L41" s="12"/>
      <c r="M41" s="12"/>
      <c r="N41" s="12"/>
      <c r="O41" s="12"/>
      <c r="P41" s="12"/>
    </row>
    <row x14ac:dyDescent="0.25" r="42" customHeight="1" ht="18.75">
      <c r="A42" s="1"/>
      <c r="B42" s="10"/>
      <c r="C42" s="10"/>
      <c r="D42" s="11"/>
      <c r="E42" s="1"/>
      <c r="F42" s="12"/>
      <c r="G42" s="4"/>
      <c r="H42" s="4"/>
      <c r="I42" s="4"/>
      <c r="J42" s="4"/>
      <c r="K42" s="12"/>
      <c r="L42" s="12"/>
      <c r="M42" s="12"/>
      <c r="N42" s="12"/>
      <c r="O42" s="12"/>
      <c r="P42" s="12"/>
    </row>
    <row x14ac:dyDescent="0.25" r="43" customHeight="1" ht="18.75">
      <c r="A43" s="1"/>
      <c r="B43" s="10"/>
      <c r="C43" s="10"/>
      <c r="D43" s="11"/>
      <c r="E43" s="1"/>
      <c r="F43" s="12"/>
      <c r="G43" s="4"/>
      <c r="H43" s="4"/>
      <c r="I43" s="4"/>
      <c r="J43" s="4"/>
      <c r="K43" s="12"/>
      <c r="L43" s="12"/>
      <c r="M43" s="12"/>
      <c r="N43" s="12"/>
      <c r="O43" s="12"/>
      <c r="P43" s="12"/>
    </row>
    <row x14ac:dyDescent="0.25" r="44" customHeight="1" ht="18.75">
      <c r="A44" s="1"/>
      <c r="B44" s="10"/>
      <c r="C44" s="10"/>
      <c r="D44" s="11"/>
      <c r="E44" s="1"/>
      <c r="F44" s="12"/>
      <c r="G44" s="4"/>
      <c r="H44" s="4"/>
      <c r="I44" s="4"/>
      <c r="J44" s="4"/>
      <c r="K44" s="12"/>
      <c r="L44" s="12"/>
      <c r="M44" s="12"/>
      <c r="N44" s="12"/>
      <c r="O44" s="12"/>
      <c r="P44" s="12"/>
    </row>
    <row x14ac:dyDescent="0.25" r="45" customHeight="1" ht="18.75">
      <c r="A45" s="1"/>
      <c r="B45" s="10"/>
      <c r="C45" s="10"/>
      <c r="D45" s="11"/>
      <c r="E45" s="1"/>
      <c r="F45" s="12"/>
      <c r="G45" s="4"/>
      <c r="H45" s="4"/>
      <c r="I45" s="4"/>
      <c r="J45" s="4"/>
      <c r="K45" s="12"/>
      <c r="L45" s="12"/>
      <c r="M45" s="12"/>
      <c r="N45" s="12"/>
      <c r="O45" s="12"/>
      <c r="P45" s="12"/>
    </row>
    <row x14ac:dyDescent="0.25" r="46" customHeight="1" ht="18.75">
      <c r="A46" s="1"/>
      <c r="B46" s="10"/>
      <c r="C46" s="10"/>
      <c r="D46" s="11"/>
      <c r="E46" s="1"/>
      <c r="F46" s="12"/>
      <c r="G46" s="4"/>
      <c r="H46" s="4"/>
      <c r="I46" s="4"/>
      <c r="J46" s="4"/>
      <c r="K46" s="12"/>
      <c r="L46" s="12"/>
      <c r="M46" s="12"/>
      <c r="N46" s="12"/>
      <c r="O46" s="12"/>
      <c r="P46" s="12"/>
    </row>
    <row x14ac:dyDescent="0.25" r="47" customHeight="1" ht="18.75">
      <c r="A47" s="1"/>
      <c r="B47" s="10"/>
      <c r="C47" s="10"/>
      <c r="D47" s="11"/>
      <c r="E47" s="1"/>
      <c r="F47" s="12"/>
      <c r="G47" s="4"/>
      <c r="H47" s="4"/>
      <c r="I47" s="4"/>
      <c r="J47" s="4"/>
      <c r="K47" s="12"/>
      <c r="L47" s="12"/>
      <c r="M47" s="12"/>
      <c r="N47" s="12"/>
      <c r="O47" s="12"/>
      <c r="P47" s="12"/>
    </row>
    <row x14ac:dyDescent="0.25" r="48" customHeight="1" ht="18.75">
      <c r="A48" s="1"/>
      <c r="B48" s="10"/>
      <c r="C48" s="10"/>
      <c r="D48" s="11"/>
      <c r="E48" s="1"/>
      <c r="F48" s="12"/>
      <c r="G48" s="4"/>
      <c r="H48" s="4"/>
      <c r="I48" s="4"/>
      <c r="J48" s="4"/>
      <c r="K48" s="12"/>
      <c r="L48" s="12"/>
      <c r="M48" s="12"/>
      <c r="N48" s="12"/>
      <c r="O48" s="12"/>
      <c r="P48" s="12"/>
    </row>
    <row x14ac:dyDescent="0.25" r="49" customHeight="1" ht="18.75">
      <c r="A49" s="1"/>
      <c r="B49" s="10"/>
      <c r="C49" s="10"/>
      <c r="D49" s="11"/>
      <c r="E49" s="1"/>
      <c r="F49" s="12"/>
      <c r="G49" s="4"/>
      <c r="H49" s="4"/>
      <c r="I49" s="4"/>
      <c r="J49" s="4"/>
      <c r="K49" s="12"/>
      <c r="L49" s="12"/>
      <c r="M49" s="12"/>
      <c r="N49" s="12"/>
      <c r="O49" s="12"/>
      <c r="P49" s="12"/>
    </row>
    <row x14ac:dyDescent="0.25" r="50" customHeight="1" ht="18.75">
      <c r="A50" s="1"/>
      <c r="B50" s="10"/>
      <c r="C50" s="10"/>
      <c r="D50" s="11"/>
      <c r="E50" s="1"/>
      <c r="F50" s="12"/>
      <c r="G50" s="4"/>
      <c r="H50" s="4"/>
      <c r="I50" s="4"/>
      <c r="J50" s="4"/>
      <c r="K50" s="12"/>
      <c r="L50" s="12"/>
      <c r="M50" s="12"/>
      <c r="N50" s="12"/>
      <c r="O50" s="12"/>
      <c r="P50" s="12"/>
    </row>
    <row x14ac:dyDescent="0.25" r="51" customHeight="1" ht="18.75">
      <c r="A51" s="1"/>
      <c r="B51" s="10"/>
      <c r="C51" s="10"/>
      <c r="D51" s="11"/>
      <c r="E51" s="1"/>
      <c r="F51" s="12"/>
      <c r="G51" s="4"/>
      <c r="H51" s="4"/>
      <c r="I51" s="4"/>
      <c r="J51" s="4"/>
      <c r="K51" s="12"/>
      <c r="L51" s="12"/>
      <c r="M51" s="12"/>
      <c r="N51" s="12"/>
      <c r="O51" s="12"/>
      <c r="P51" s="12"/>
    </row>
    <row x14ac:dyDescent="0.25" r="52" customHeight="1" ht="18.75">
      <c r="A52" s="1"/>
      <c r="B52" s="10"/>
      <c r="C52" s="10"/>
      <c r="D52" s="11"/>
      <c r="E52" s="1"/>
      <c r="F52" s="12"/>
      <c r="G52" s="4"/>
      <c r="H52" s="4"/>
      <c r="I52" s="4"/>
      <c r="J52" s="4"/>
      <c r="K52" s="12"/>
      <c r="L52" s="12"/>
      <c r="M52" s="12"/>
      <c r="N52" s="12"/>
      <c r="O52" s="12"/>
      <c r="P52" s="12"/>
    </row>
    <row x14ac:dyDescent="0.25" r="53" customHeight="1" ht="18.75">
      <c r="A53" s="1"/>
      <c r="B53" s="10"/>
      <c r="C53" s="10"/>
      <c r="D53" s="11"/>
      <c r="E53" s="1"/>
      <c r="F53" s="12"/>
      <c r="G53" s="4"/>
      <c r="H53" s="4"/>
      <c r="I53" s="4"/>
      <c r="J53" s="4"/>
      <c r="K53" s="12"/>
      <c r="L53" s="12"/>
      <c r="M53" s="12"/>
      <c r="N53" s="12"/>
      <c r="O53" s="12"/>
      <c r="P53" s="12"/>
    </row>
    <row x14ac:dyDescent="0.25" r="54" customHeight="1" ht="18.75">
      <c r="A54" s="1"/>
      <c r="B54" s="10"/>
      <c r="C54" s="10"/>
      <c r="D54" s="11"/>
      <c r="E54" s="1"/>
      <c r="F54" s="12"/>
      <c r="G54" s="4"/>
      <c r="H54" s="4"/>
      <c r="I54" s="4"/>
      <c r="J54" s="4"/>
      <c r="K54" s="12"/>
      <c r="L54" s="12"/>
      <c r="M54" s="12"/>
      <c r="N54" s="12"/>
      <c r="O54" s="12"/>
      <c r="P54" s="12"/>
    </row>
    <row x14ac:dyDescent="0.25" r="55" customHeight="1" ht="18.75">
      <c r="A55" s="1"/>
      <c r="B55" s="10"/>
      <c r="C55" s="10"/>
      <c r="D55" s="11"/>
      <c r="E55" s="1"/>
      <c r="F55" s="12"/>
      <c r="G55" s="4"/>
      <c r="H55" s="4"/>
      <c r="I55" s="4"/>
      <c r="J55" s="4"/>
      <c r="K55" s="12"/>
      <c r="L55" s="12"/>
      <c r="M55" s="12"/>
      <c r="N55" s="12"/>
      <c r="O55" s="12"/>
      <c r="P55" s="12"/>
    </row>
    <row x14ac:dyDescent="0.25" r="56" customHeight="1" ht="18.75">
      <c r="A56" s="1"/>
      <c r="B56" s="10"/>
      <c r="C56" s="10"/>
      <c r="D56" s="11"/>
      <c r="E56" s="1"/>
      <c r="F56" s="12"/>
      <c r="G56" s="4"/>
      <c r="H56" s="4"/>
      <c r="I56" s="4"/>
      <c r="J56" s="4"/>
      <c r="K56" s="12"/>
      <c r="L56" s="12"/>
      <c r="M56" s="12"/>
      <c r="N56" s="12"/>
      <c r="O56" s="12"/>
      <c r="P56" s="12"/>
    </row>
    <row x14ac:dyDescent="0.25" r="57" customHeight="1" ht="18.75">
      <c r="A57" s="1"/>
      <c r="B57" s="10"/>
      <c r="C57" s="10"/>
      <c r="D57" s="11"/>
      <c r="E57" s="1"/>
      <c r="F57" s="12"/>
      <c r="G57" s="4"/>
      <c r="H57" s="4"/>
      <c r="I57" s="4"/>
      <c r="J57" s="4"/>
      <c r="K57" s="12"/>
      <c r="L57" s="12"/>
      <c r="M57" s="12"/>
      <c r="N57" s="12"/>
      <c r="O57" s="12"/>
      <c r="P57" s="12"/>
    </row>
    <row x14ac:dyDescent="0.25" r="58" customHeight="1" ht="18.75">
      <c r="A58" s="1"/>
      <c r="B58" s="10"/>
      <c r="C58" s="10"/>
      <c r="D58" s="11"/>
      <c r="E58" s="1"/>
      <c r="F58" s="12"/>
      <c r="G58" s="4"/>
      <c r="H58" s="4"/>
      <c r="I58" s="4"/>
      <c r="J58" s="4"/>
      <c r="K58" s="12"/>
      <c r="L58" s="12"/>
      <c r="M58" s="12"/>
      <c r="N58" s="12"/>
      <c r="O58" s="12"/>
      <c r="P58" s="12"/>
    </row>
    <row x14ac:dyDescent="0.25" r="59" customHeight="1" ht="18.75">
      <c r="A59" s="1"/>
      <c r="B59" s="10"/>
      <c r="C59" s="10"/>
      <c r="D59" s="11"/>
      <c r="E59" s="1"/>
      <c r="F59" s="12"/>
      <c r="G59" s="4"/>
      <c r="H59" s="4"/>
      <c r="I59" s="4"/>
      <c r="J59" s="4"/>
      <c r="K59" s="12"/>
      <c r="L59" s="12"/>
      <c r="M59" s="12"/>
      <c r="N59" s="12"/>
      <c r="O59" s="12"/>
      <c r="P59" s="12"/>
    </row>
    <row x14ac:dyDescent="0.25" r="60" customHeight="1" ht="18.75">
      <c r="A60" s="1"/>
      <c r="B60" s="10"/>
      <c r="C60" s="10"/>
      <c r="D60" s="11"/>
      <c r="E60" s="1"/>
      <c r="F60" s="12"/>
      <c r="G60" s="4"/>
      <c r="H60" s="4"/>
      <c r="I60" s="4"/>
      <c r="J60" s="4"/>
      <c r="K60" s="12"/>
      <c r="L60" s="12"/>
      <c r="M60" s="12"/>
      <c r="N60" s="12"/>
      <c r="O60" s="12"/>
      <c r="P60" s="12"/>
    </row>
    <row x14ac:dyDescent="0.25" r="61" customHeight="1" ht="18.75">
      <c r="A61" s="1"/>
      <c r="B61" s="10"/>
      <c r="C61" s="10"/>
      <c r="D61" s="11"/>
      <c r="E61" s="1"/>
      <c r="F61" s="12"/>
      <c r="G61" s="4"/>
      <c r="H61" s="4"/>
      <c r="I61" s="4"/>
      <c r="J61" s="4"/>
      <c r="K61" s="12"/>
      <c r="L61" s="12"/>
      <c r="M61" s="12"/>
      <c r="N61" s="12"/>
      <c r="O61" s="12"/>
      <c r="P61" s="12"/>
    </row>
    <row x14ac:dyDescent="0.25" r="62" customHeight="1" ht="18.75">
      <c r="A62" s="1"/>
      <c r="B62" s="10"/>
      <c r="C62" s="10"/>
      <c r="D62" s="11"/>
      <c r="E62" s="1"/>
      <c r="F62" s="12"/>
      <c r="G62" s="4"/>
      <c r="H62" s="4"/>
      <c r="I62" s="4"/>
      <c r="J62" s="4"/>
      <c r="K62" s="12"/>
      <c r="L62" s="12"/>
      <c r="M62" s="12"/>
      <c r="N62" s="12"/>
      <c r="O62" s="12"/>
      <c r="P62" s="12"/>
    </row>
    <row x14ac:dyDescent="0.25" r="63" customHeight="1" ht="18.75">
      <c r="A63" s="1"/>
      <c r="B63" s="10"/>
      <c r="C63" s="10"/>
      <c r="D63" s="11"/>
      <c r="E63" s="1"/>
      <c r="F63" s="12"/>
      <c r="G63" s="4"/>
      <c r="H63" s="4"/>
      <c r="I63" s="4"/>
      <c r="J63" s="4"/>
      <c r="K63" s="12"/>
      <c r="L63" s="12"/>
      <c r="M63" s="12"/>
      <c r="N63" s="12"/>
      <c r="O63" s="12"/>
      <c r="P63" s="12"/>
    </row>
    <row x14ac:dyDescent="0.25" r="64" customHeight="1" ht="18.75">
      <c r="A64" s="1"/>
      <c r="B64" s="10"/>
      <c r="C64" s="10"/>
      <c r="D64" s="11"/>
      <c r="E64" s="1"/>
      <c r="F64" s="12"/>
      <c r="G64" s="4"/>
      <c r="H64" s="4"/>
      <c r="I64" s="4"/>
      <c r="J64" s="4"/>
      <c r="K64" s="12"/>
      <c r="L64" s="12"/>
      <c r="M64" s="12"/>
      <c r="N64" s="12"/>
      <c r="O64" s="12"/>
      <c r="P64" s="12"/>
    </row>
    <row x14ac:dyDescent="0.25" r="65" customHeight="1" ht="18.75">
      <c r="A65" s="1"/>
      <c r="B65" s="10"/>
      <c r="C65" s="10"/>
      <c r="D65" s="11"/>
      <c r="E65" s="1"/>
      <c r="F65" s="12"/>
      <c r="G65" s="4"/>
      <c r="H65" s="4"/>
      <c r="I65" s="4"/>
      <c r="J65" s="4"/>
      <c r="K65" s="12"/>
      <c r="L65" s="12"/>
      <c r="M65" s="12"/>
      <c r="N65" s="12"/>
      <c r="O65" s="12"/>
      <c r="P65" s="12"/>
    </row>
    <row x14ac:dyDescent="0.25" r="66" customHeight="1" ht="18.75">
      <c r="A66" s="1"/>
      <c r="B66" s="10"/>
      <c r="C66" s="10"/>
      <c r="D66" s="11"/>
      <c r="E66" s="1"/>
      <c r="F66" s="12"/>
      <c r="G66" s="4"/>
      <c r="H66" s="4"/>
      <c r="I66" s="4"/>
      <c r="J66" s="4"/>
      <c r="K66" s="12"/>
      <c r="L66" s="12"/>
      <c r="M66" s="12"/>
      <c r="N66" s="12"/>
      <c r="O66" s="12"/>
      <c r="P66" s="12"/>
    </row>
    <row x14ac:dyDescent="0.25" r="67" customHeight="1" ht="18.75">
      <c r="A67" s="1"/>
      <c r="B67" s="10"/>
      <c r="C67" s="10"/>
      <c r="D67" s="11"/>
      <c r="E67" s="1"/>
      <c r="F67" s="12"/>
      <c r="G67" s="4"/>
      <c r="H67" s="4"/>
      <c r="I67" s="4"/>
      <c r="J67" s="4"/>
      <c r="K67" s="12"/>
      <c r="L67" s="12"/>
      <c r="M67" s="12"/>
      <c r="N67" s="12"/>
      <c r="O67" s="12"/>
      <c r="P67" s="12"/>
    </row>
    <row x14ac:dyDescent="0.25" r="68" customHeight="1" ht="18.75">
      <c r="A68" s="1"/>
      <c r="B68" s="10"/>
      <c r="C68" s="10"/>
      <c r="D68" s="11"/>
      <c r="E68" s="1"/>
      <c r="F68" s="12"/>
      <c r="G68" s="4"/>
      <c r="H68" s="4"/>
      <c r="I68" s="4"/>
      <c r="J68" s="4"/>
      <c r="K68" s="12"/>
      <c r="L68" s="12"/>
      <c r="M68" s="12"/>
      <c r="N68" s="12"/>
      <c r="O68" s="12"/>
      <c r="P68" s="12"/>
    </row>
    <row x14ac:dyDescent="0.25" r="69" customHeight="1" ht="18.75">
      <c r="A69" s="1"/>
      <c r="B69" s="10"/>
      <c r="C69" s="10"/>
      <c r="D69" s="11"/>
      <c r="E69" s="1"/>
      <c r="F69" s="12"/>
      <c r="G69" s="4"/>
      <c r="H69" s="4"/>
      <c r="I69" s="4"/>
      <c r="J69" s="4"/>
      <c r="K69" s="12"/>
      <c r="L69" s="12"/>
      <c r="M69" s="12"/>
      <c r="N69" s="12"/>
      <c r="O69" s="12"/>
      <c r="P69" s="12"/>
    </row>
    <row x14ac:dyDescent="0.25" r="70" customHeight="1" ht="18.75">
      <c r="A70" s="1"/>
      <c r="B70" s="10"/>
      <c r="C70" s="10"/>
      <c r="D70" s="11"/>
      <c r="E70" s="1"/>
      <c r="F70" s="12"/>
      <c r="G70" s="4"/>
      <c r="H70" s="4"/>
      <c r="I70" s="4"/>
      <c r="J70" s="4"/>
      <c r="K70" s="12"/>
      <c r="L70" s="12"/>
      <c r="M70" s="12"/>
      <c r="N70" s="12"/>
      <c r="O70" s="12"/>
      <c r="P70" s="1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72"/>
  <sheetViews>
    <sheetView workbookViewId="0"/>
  </sheetViews>
  <sheetFormatPr defaultRowHeight="15" x14ac:dyDescent="0.25"/>
  <cols>
    <col min="1" max="1" style="13" width="9.290714285714287" customWidth="1" bestFit="1"/>
    <col min="2" max="2" style="14" width="11.862142857142858" customWidth="1" bestFit="1"/>
    <col min="3" max="3" style="14" width="11.862142857142858" customWidth="1" bestFit="1"/>
    <col min="4" max="4" style="15" width="12.862142857142858" customWidth="1" bestFit="1"/>
    <col min="5" max="5" style="13" width="2.4335714285714283" customWidth="1" bestFit="1"/>
    <col min="6" max="6" style="16" width="9.147857142857141" customWidth="1" bestFit="1"/>
    <col min="7" max="7" style="17" width="9.147857142857141" customWidth="1" bestFit="1"/>
    <col min="8" max="8" style="17" width="9.147857142857141" customWidth="1" bestFit="1"/>
    <col min="9" max="9" style="17" width="9.147857142857141" customWidth="1" bestFit="1"/>
    <col min="10" max="10" style="17" width="9.147857142857141" customWidth="1" bestFit="1"/>
    <col min="11" max="11" style="16" width="9.290714285714287" customWidth="1" bestFit="1"/>
  </cols>
  <sheetData>
    <row x14ac:dyDescent="0.25" r="1" customHeight="1" ht="18.75">
      <c r="A1" s="1"/>
      <c r="B1" s="2" t="s">
        <v>0</v>
      </c>
      <c r="C1" s="2" t="s">
        <v>1</v>
      </c>
      <c r="D1" s="3" t="s">
        <v>2</v>
      </c>
      <c r="E1" s="1"/>
      <c r="F1" s="4" t="s">
        <v>3</v>
      </c>
      <c r="G1" s="4" t="s">
        <v>4</v>
      </c>
      <c r="H1" s="4" t="s">
        <v>5</v>
      </c>
      <c r="I1" s="4" t="s">
        <v>6</v>
      </c>
      <c r="J1" s="4"/>
      <c r="K1" s="4"/>
    </row>
    <row x14ac:dyDescent="0.25" r="2" customHeight="1" ht="18.75">
      <c r="A2" s="5" t="s">
        <v>7</v>
      </c>
      <c r="B2" s="2">
        <v>0.000001</v>
      </c>
      <c r="C2" s="3">
        <v>0</v>
      </c>
      <c r="D2" s="3">
        <v>2000</v>
      </c>
      <c r="E2" s="1"/>
      <c r="F2" s="4">
        <v>6.5841</v>
      </c>
      <c r="G2" s="4">
        <v>7.1393</v>
      </c>
      <c r="H2" s="4"/>
      <c r="I2" s="4"/>
      <c r="J2" s="4">
        <f>AVERAGEA(F2:I2)</f>
      </c>
      <c r="K2" s="4"/>
    </row>
    <row x14ac:dyDescent="0.25" r="3" customHeight="1" ht="18.75">
      <c r="A3" s="1"/>
      <c r="B3" s="2">
        <v>0.000001</v>
      </c>
      <c r="C3" s="3">
        <v>0</v>
      </c>
      <c r="D3" s="3" t="s">
        <v>8</v>
      </c>
      <c r="E3" s="1"/>
      <c r="F3" s="4">
        <v>7.0313</v>
      </c>
      <c r="G3" s="4">
        <v>7.0376</v>
      </c>
      <c r="H3" s="4"/>
      <c r="I3" s="4"/>
      <c r="J3" s="4">
        <f>AVERAGEA(F3:I3)</f>
      </c>
      <c r="K3" s="4"/>
    </row>
    <row x14ac:dyDescent="0.25" r="4" customHeight="1" ht="18.75">
      <c r="A4" s="1"/>
      <c r="B4" s="2">
        <v>0.000001</v>
      </c>
      <c r="C4" s="2">
        <v>4e-8</v>
      </c>
      <c r="D4" s="3">
        <v>2000</v>
      </c>
      <c r="E4" s="1"/>
      <c r="F4" s="4">
        <v>6.6568</v>
      </c>
      <c r="G4" s="4">
        <v>6.9072</v>
      </c>
      <c r="H4" s="4">
        <v>6.4829</v>
      </c>
      <c r="I4" s="4"/>
      <c r="J4" s="4">
        <f>AVERAGEA(F4:I4)</f>
      </c>
      <c r="K4" s="4"/>
    </row>
    <row x14ac:dyDescent="0.25" r="5" customHeight="1" ht="18.75">
      <c r="A5" s="1"/>
      <c r="B5" s="2">
        <v>0.000001</v>
      </c>
      <c r="C5" s="2">
        <v>0.000001</v>
      </c>
      <c r="D5" s="3">
        <v>2000</v>
      </c>
      <c r="E5" s="1"/>
      <c r="F5" s="4">
        <v>7.8001</v>
      </c>
      <c r="G5" s="4">
        <v>6.8374</v>
      </c>
      <c r="H5" s="4">
        <v>6.3374</v>
      </c>
      <c r="I5" s="4"/>
      <c r="J5" s="4">
        <f>AVERAGEA(F5:I5)</f>
      </c>
      <c r="K5" s="4"/>
    </row>
    <row x14ac:dyDescent="0.25" r="6" customHeight="1" ht="18.75">
      <c r="A6" s="1"/>
      <c r="B6" s="2">
        <v>0.000001</v>
      </c>
      <c r="C6" s="2">
        <v>0.00001</v>
      </c>
      <c r="D6" s="3">
        <v>2000</v>
      </c>
      <c r="E6" s="1"/>
      <c r="F6" s="4">
        <v>7.3748</v>
      </c>
      <c r="G6" s="4">
        <v>7.8597</v>
      </c>
      <c r="H6" s="4">
        <v>7.2101</v>
      </c>
      <c r="I6" s="4"/>
      <c r="J6" s="4">
        <f>AVERAGEA(F6:I6)</f>
      </c>
      <c r="K6" s="4"/>
    </row>
    <row x14ac:dyDescent="0.25" r="7" customHeight="1" ht="18.75">
      <c r="A7" s="1"/>
      <c r="B7" s="2">
        <v>0.000001</v>
      </c>
      <c r="C7" s="2">
        <v>0.0001</v>
      </c>
      <c r="D7" s="3">
        <v>2000</v>
      </c>
      <c r="E7" s="1"/>
      <c r="F7" s="4">
        <v>11.936</v>
      </c>
      <c r="G7" s="4">
        <v>12.4151</v>
      </c>
      <c r="H7" s="4"/>
      <c r="I7" s="4"/>
      <c r="J7" s="4"/>
      <c r="K7" s="4"/>
    </row>
    <row x14ac:dyDescent="0.25" r="8" customHeight="1" ht="18.75">
      <c r="A8" s="1"/>
      <c r="B8" s="2">
        <v>0.00001</v>
      </c>
      <c r="C8" s="2">
        <v>1e-8</v>
      </c>
      <c r="D8" s="3">
        <v>2000</v>
      </c>
      <c r="E8" s="1"/>
      <c r="F8" s="4">
        <v>6.4137</v>
      </c>
      <c r="G8" s="4">
        <v>6.3053</v>
      </c>
      <c r="H8" s="4">
        <v>6.4295</v>
      </c>
      <c r="I8" s="4">
        <v>5.3253</v>
      </c>
      <c r="J8" s="4">
        <f>AVERAGEA(F8:I8)</f>
      </c>
      <c r="K8" s="4"/>
    </row>
    <row x14ac:dyDescent="0.25" r="9" customHeight="1" ht="18.75">
      <c r="A9" s="1"/>
      <c r="B9" s="2">
        <v>0.00001</v>
      </c>
      <c r="C9" s="2">
        <v>4e-8</v>
      </c>
      <c r="D9" s="3">
        <v>2000</v>
      </c>
      <c r="E9" s="1"/>
      <c r="F9" s="4">
        <v>5.4412</v>
      </c>
      <c r="G9" s="4">
        <v>6.674</v>
      </c>
      <c r="H9" s="4">
        <v>6.407</v>
      </c>
      <c r="I9" s="4">
        <v>6.1845</v>
      </c>
      <c r="J9" s="4">
        <f>AVERAGEA(F9:I9)</f>
      </c>
      <c r="K9" s="4"/>
    </row>
    <row x14ac:dyDescent="0.25" r="10" customHeight="1" ht="18.75">
      <c r="A10" s="1"/>
      <c r="B10" s="2">
        <v>0.00001</v>
      </c>
      <c r="C10" s="2">
        <v>0.000001</v>
      </c>
      <c r="D10" s="3">
        <v>2000</v>
      </c>
      <c r="E10" s="1"/>
      <c r="F10" s="4">
        <v>6.4097</v>
      </c>
      <c r="G10" s="4">
        <v>6.851</v>
      </c>
      <c r="H10" s="4">
        <v>7.123</v>
      </c>
      <c r="I10" s="4">
        <v>6.6659</v>
      </c>
      <c r="J10" s="4">
        <f>AVERAGEA(F10:I10)</f>
      </c>
      <c r="K10" s="4"/>
    </row>
    <row x14ac:dyDescent="0.25" r="11" customHeight="1" ht="18.75">
      <c r="A11" s="1"/>
      <c r="B11" s="2">
        <v>0.00001</v>
      </c>
      <c r="C11" s="2">
        <v>0.00001</v>
      </c>
      <c r="D11" s="3">
        <v>2000</v>
      </c>
      <c r="E11" s="1"/>
      <c r="F11" s="4">
        <v>9.2818</v>
      </c>
      <c r="G11" s="4">
        <v>7.7864</v>
      </c>
      <c r="H11" s="4">
        <v>7.9922</v>
      </c>
      <c r="I11" s="4">
        <v>8.8245</v>
      </c>
      <c r="J11" s="4">
        <f>AVERAGEA(F11:I11)</f>
      </c>
      <c r="K11" s="4"/>
    </row>
    <row x14ac:dyDescent="0.25" r="12" customHeight="1" ht="18.75">
      <c r="A12" s="6"/>
      <c r="B12" s="7">
        <v>0.00005</v>
      </c>
      <c r="C12" s="7">
        <v>1e-8</v>
      </c>
      <c r="D12" s="8">
        <v>2000</v>
      </c>
      <c r="E12" s="6"/>
      <c r="F12" s="9">
        <v>9.289</v>
      </c>
      <c r="G12" s="9"/>
      <c r="H12" s="9"/>
      <c r="I12" s="9"/>
      <c r="J12" s="4"/>
      <c r="K12" s="4"/>
    </row>
    <row x14ac:dyDescent="0.25" r="13" customHeight="1" ht="18.75">
      <c r="A13" s="6"/>
      <c r="B13" s="7">
        <v>0.00005</v>
      </c>
      <c r="C13" s="7">
        <v>4e-8</v>
      </c>
      <c r="D13" s="8">
        <v>2000</v>
      </c>
      <c r="E13" s="6"/>
      <c r="F13" s="9">
        <v>9.6982</v>
      </c>
      <c r="G13" s="9"/>
      <c r="H13" s="9"/>
      <c r="I13" s="9"/>
      <c r="J13" s="4"/>
      <c r="K13" s="4"/>
    </row>
    <row x14ac:dyDescent="0.25" r="14" customHeight="1" ht="18.75">
      <c r="A14" s="6"/>
      <c r="B14" s="7">
        <v>0.00005</v>
      </c>
      <c r="C14" s="7">
        <v>0.000001</v>
      </c>
      <c r="D14" s="8">
        <v>2000</v>
      </c>
      <c r="E14" s="6"/>
      <c r="F14" s="9">
        <v>9.6938</v>
      </c>
      <c r="G14" s="9"/>
      <c r="H14" s="9"/>
      <c r="I14" s="9"/>
      <c r="J14" s="4"/>
      <c r="K14" s="4"/>
    </row>
    <row x14ac:dyDescent="0.25" r="15" customHeight="1" ht="18.75">
      <c r="A15" s="6"/>
      <c r="B15" s="7">
        <v>0.00005</v>
      </c>
      <c r="C15" s="7">
        <v>0.00001</v>
      </c>
      <c r="D15" s="8">
        <v>2000</v>
      </c>
      <c r="E15" s="6"/>
      <c r="F15" s="9">
        <v>10.475</v>
      </c>
      <c r="G15" s="9"/>
      <c r="H15" s="9"/>
      <c r="I15" s="9"/>
      <c r="J15" s="4"/>
      <c r="K15" s="4"/>
    </row>
    <row x14ac:dyDescent="0.25" r="16" customHeight="1" ht="18.75">
      <c r="A16" s="1"/>
      <c r="B16" s="2"/>
      <c r="C16" s="10"/>
      <c r="D16" s="11"/>
      <c r="E16" s="1"/>
      <c r="F16" s="12"/>
      <c r="G16" s="4"/>
      <c r="H16" s="4"/>
      <c r="I16" s="4"/>
      <c r="J16" s="4"/>
      <c r="K16" s="4"/>
    </row>
    <row x14ac:dyDescent="0.25" r="17" customHeight="1" ht="18.75">
      <c r="A17" s="1"/>
      <c r="B17" s="2"/>
      <c r="C17" s="10"/>
      <c r="D17" s="11"/>
      <c r="E17" s="1"/>
      <c r="F17" s="12"/>
      <c r="G17" s="4"/>
      <c r="H17" s="4"/>
      <c r="I17" s="4"/>
      <c r="J17" s="4"/>
      <c r="K17" s="4"/>
    </row>
    <row x14ac:dyDescent="0.25" r="18" customHeight="1" ht="18.75">
      <c r="A18" s="1"/>
      <c r="B18" s="2"/>
      <c r="C18" s="10"/>
      <c r="D18" s="11"/>
      <c r="E18" s="1"/>
      <c r="F18" s="12"/>
      <c r="G18" s="4"/>
      <c r="H18" s="4"/>
      <c r="I18" s="4"/>
      <c r="J18" s="4"/>
      <c r="K18" s="4"/>
    </row>
    <row x14ac:dyDescent="0.25" r="19" customHeight="1" ht="18.75">
      <c r="A19" s="5" t="s">
        <v>9</v>
      </c>
      <c r="B19" s="2">
        <v>0.000001</v>
      </c>
      <c r="C19" s="10"/>
      <c r="D19" s="3">
        <v>2000</v>
      </c>
      <c r="E19" s="1"/>
      <c r="F19" s="4">
        <v>6.5123</v>
      </c>
      <c r="G19" s="4">
        <v>6.1606</v>
      </c>
      <c r="H19" s="4">
        <v>6.4861</v>
      </c>
      <c r="I19" s="4">
        <v>6.9645</v>
      </c>
      <c r="J19" s="4">
        <f>AVERAGEA(F19:I19)</f>
      </c>
      <c r="K19" s="4"/>
    </row>
    <row x14ac:dyDescent="0.25" r="20" customHeight="1" ht="18.75">
      <c r="A20" s="1"/>
      <c r="B20" s="2">
        <v>0.00001</v>
      </c>
      <c r="C20" s="10"/>
      <c r="D20" s="3">
        <v>2000</v>
      </c>
      <c r="E20" s="1"/>
      <c r="F20" s="4">
        <v>7.2415</v>
      </c>
      <c r="G20" s="4">
        <v>8.0248</v>
      </c>
      <c r="H20" s="4"/>
      <c r="I20" s="4"/>
      <c r="J20" s="4">
        <f>AVERAGEA(F20:I20)</f>
      </c>
      <c r="K20" s="4"/>
    </row>
    <row x14ac:dyDescent="0.25" r="21" customHeight="1" ht="18.75">
      <c r="A21" s="5" t="s">
        <v>10</v>
      </c>
      <c r="B21" s="2">
        <v>0.000001</v>
      </c>
      <c r="C21" s="10"/>
      <c r="D21" s="3">
        <v>2000</v>
      </c>
      <c r="E21" s="1"/>
      <c r="F21" s="4">
        <v>6.6902</v>
      </c>
      <c r="G21" s="4">
        <v>6.4534</v>
      </c>
      <c r="H21" s="4">
        <v>6.4842</v>
      </c>
      <c r="I21" s="4">
        <v>7.1622</v>
      </c>
      <c r="J21" s="4">
        <f>AVERAGEA(F21:I21)</f>
      </c>
      <c r="K21" s="12"/>
    </row>
    <row x14ac:dyDescent="0.25" r="22" customHeight="1" ht="18.75">
      <c r="A22" s="1"/>
      <c r="B22" s="2">
        <v>0.00001</v>
      </c>
      <c r="C22" s="10"/>
      <c r="D22" s="3">
        <v>2000</v>
      </c>
      <c r="E22" s="1"/>
      <c r="F22" s="4">
        <v>8.3201</v>
      </c>
      <c r="G22" s="4">
        <v>8.0177</v>
      </c>
      <c r="H22" s="4"/>
      <c r="I22" s="4"/>
      <c r="J22" s="4">
        <f>AVERAGEA(F22:I22)</f>
      </c>
      <c r="K22" s="4"/>
    </row>
    <row x14ac:dyDescent="0.25" r="23" customHeight="1" ht="18.75">
      <c r="A23" s="1"/>
      <c r="B23" s="10"/>
      <c r="C23" s="10"/>
      <c r="D23" s="11"/>
      <c r="E23" s="1"/>
      <c r="F23" s="12"/>
      <c r="G23" s="4"/>
      <c r="H23" s="4"/>
      <c r="I23" s="4"/>
      <c r="J23" s="4"/>
      <c r="K23" s="12"/>
    </row>
    <row x14ac:dyDescent="0.25" r="24" customHeight="1" ht="18.75">
      <c r="A24" s="1"/>
      <c r="B24" s="10"/>
      <c r="C24" s="10"/>
      <c r="D24" s="11"/>
      <c r="E24" s="1"/>
      <c r="F24" s="12"/>
      <c r="G24" s="4"/>
      <c r="H24" s="4"/>
      <c r="I24" s="4"/>
      <c r="J24" s="4"/>
      <c r="K24" s="12"/>
    </row>
    <row x14ac:dyDescent="0.25" r="25" customHeight="1" ht="18.75">
      <c r="A25" s="1"/>
      <c r="B25" s="10"/>
      <c r="C25" s="10"/>
      <c r="D25" s="11"/>
      <c r="E25" s="1"/>
      <c r="F25" s="12"/>
      <c r="G25" s="4"/>
      <c r="H25" s="4"/>
      <c r="I25" s="4"/>
      <c r="J25" s="4"/>
      <c r="K25" s="12"/>
    </row>
    <row x14ac:dyDescent="0.25" r="26" customHeight="1" ht="18.75">
      <c r="A26" s="1"/>
      <c r="B26" s="10"/>
      <c r="C26" s="10"/>
      <c r="D26" s="11"/>
      <c r="E26" s="1"/>
      <c r="F26" s="12"/>
      <c r="G26" s="4"/>
      <c r="H26" s="4"/>
      <c r="I26" s="4"/>
      <c r="J26" s="4"/>
      <c r="K26" s="12"/>
    </row>
    <row x14ac:dyDescent="0.25" r="27" customHeight="1" ht="18.75">
      <c r="A27" s="1"/>
      <c r="B27" s="10"/>
      <c r="C27" s="10"/>
      <c r="D27" s="11"/>
      <c r="E27" s="1"/>
      <c r="F27" s="12"/>
      <c r="G27" s="4"/>
      <c r="H27" s="4"/>
      <c r="I27" s="4"/>
      <c r="J27" s="4"/>
      <c r="K27" s="12"/>
    </row>
    <row x14ac:dyDescent="0.25" r="28" customHeight="1" ht="18.75">
      <c r="A28" s="1"/>
      <c r="B28" s="10"/>
      <c r="C28" s="10"/>
      <c r="D28" s="11"/>
      <c r="E28" s="1"/>
      <c r="F28" s="12"/>
      <c r="G28" s="4"/>
      <c r="H28" s="4"/>
      <c r="I28" s="4"/>
      <c r="J28" s="4"/>
      <c r="K28" s="12"/>
    </row>
    <row x14ac:dyDescent="0.25" r="29" customHeight="1" ht="18.75">
      <c r="A29" s="1"/>
      <c r="B29" s="10"/>
      <c r="C29" s="10"/>
      <c r="D29" s="11"/>
      <c r="E29" s="1"/>
      <c r="F29" s="12"/>
      <c r="G29" s="4"/>
      <c r="H29" s="4"/>
      <c r="I29" s="4"/>
      <c r="J29" s="4"/>
      <c r="K29" s="12"/>
    </row>
    <row x14ac:dyDescent="0.25" r="30" customHeight="1" ht="18.75">
      <c r="A30" s="1"/>
      <c r="B30" s="10"/>
      <c r="C30" s="10"/>
      <c r="D30" s="11"/>
      <c r="E30" s="1"/>
      <c r="F30" s="12"/>
      <c r="G30" s="4"/>
      <c r="H30" s="4"/>
      <c r="I30" s="4"/>
      <c r="J30" s="4"/>
      <c r="K30" s="12"/>
    </row>
    <row x14ac:dyDescent="0.25" r="31" customHeight="1" ht="18.75">
      <c r="A31" s="1"/>
      <c r="B31" s="10"/>
      <c r="C31" s="10"/>
      <c r="D31" s="11"/>
      <c r="E31" s="1"/>
      <c r="F31" s="12"/>
      <c r="G31" s="4"/>
      <c r="H31" s="4"/>
      <c r="I31" s="4"/>
      <c r="J31" s="4"/>
      <c r="K31" s="12"/>
    </row>
    <row x14ac:dyDescent="0.25" r="32" customHeight="1" ht="18.75">
      <c r="A32" s="1"/>
      <c r="B32" s="10"/>
      <c r="C32" s="10"/>
      <c r="D32" s="11"/>
      <c r="E32" s="1"/>
      <c r="F32" s="12"/>
      <c r="G32" s="4"/>
      <c r="H32" s="4"/>
      <c r="I32" s="4"/>
      <c r="J32" s="4"/>
      <c r="K32" s="12"/>
    </row>
    <row x14ac:dyDescent="0.25" r="33" customHeight="1" ht="18.75">
      <c r="A33" s="1"/>
      <c r="B33" s="10"/>
      <c r="C33" s="10"/>
      <c r="D33" s="11"/>
      <c r="E33" s="1"/>
      <c r="F33" s="12"/>
      <c r="G33" s="4"/>
      <c r="H33" s="4"/>
      <c r="I33" s="4"/>
      <c r="J33" s="4"/>
      <c r="K33" s="12"/>
    </row>
    <row x14ac:dyDescent="0.25" r="34" customHeight="1" ht="18.75">
      <c r="A34" s="1"/>
      <c r="B34" s="10"/>
      <c r="C34" s="10"/>
      <c r="D34" s="11"/>
      <c r="E34" s="1"/>
      <c r="F34" s="12"/>
      <c r="G34" s="4"/>
      <c r="H34" s="4"/>
      <c r="I34" s="4"/>
      <c r="J34" s="4"/>
      <c r="K34" s="12"/>
    </row>
    <row x14ac:dyDescent="0.25" r="35" customHeight="1" ht="18.75">
      <c r="A35" s="1"/>
      <c r="B35" s="10"/>
      <c r="C35" s="10"/>
      <c r="D35" s="11"/>
      <c r="E35" s="1"/>
      <c r="F35" s="12"/>
      <c r="G35" s="4"/>
      <c r="H35" s="4"/>
      <c r="I35" s="4"/>
      <c r="J35" s="4"/>
      <c r="K35" s="12"/>
    </row>
    <row x14ac:dyDescent="0.25" r="36" customHeight="1" ht="18.75">
      <c r="A36" s="1"/>
      <c r="B36" s="10"/>
      <c r="C36" s="10"/>
      <c r="D36" s="11"/>
      <c r="E36" s="1"/>
      <c r="F36" s="12"/>
      <c r="G36" s="4"/>
      <c r="H36" s="4"/>
      <c r="I36" s="4"/>
      <c r="J36" s="4"/>
      <c r="K36" s="12"/>
    </row>
    <row x14ac:dyDescent="0.25" r="37" customHeight="1" ht="18.75">
      <c r="A37" s="1"/>
      <c r="B37" s="10"/>
      <c r="C37" s="10"/>
      <c r="D37" s="11"/>
      <c r="E37" s="1"/>
      <c r="F37" s="12"/>
      <c r="G37" s="4"/>
      <c r="H37" s="4"/>
      <c r="I37" s="4"/>
      <c r="J37" s="4"/>
      <c r="K37" s="12"/>
    </row>
    <row x14ac:dyDescent="0.25" r="38" customHeight="1" ht="18.75">
      <c r="A38" s="1"/>
      <c r="B38" s="10"/>
      <c r="C38" s="10"/>
      <c r="D38" s="11"/>
      <c r="E38" s="1"/>
      <c r="F38" s="12"/>
      <c r="G38" s="4"/>
      <c r="H38" s="4"/>
      <c r="I38" s="4"/>
      <c r="J38" s="4"/>
      <c r="K38" s="12"/>
    </row>
    <row x14ac:dyDescent="0.25" r="39" customHeight="1" ht="18.75">
      <c r="A39" s="1"/>
      <c r="B39" s="10"/>
      <c r="C39" s="10"/>
      <c r="D39" s="11"/>
      <c r="E39" s="1"/>
      <c r="F39" s="12"/>
      <c r="G39" s="4"/>
      <c r="H39" s="4"/>
      <c r="I39" s="4"/>
      <c r="J39" s="4"/>
      <c r="K39" s="12"/>
    </row>
    <row x14ac:dyDescent="0.25" r="40" customHeight="1" ht="18.75">
      <c r="A40" s="1"/>
      <c r="B40" s="10"/>
      <c r="C40" s="10"/>
      <c r="D40" s="11"/>
      <c r="E40" s="1"/>
      <c r="F40" s="12"/>
      <c r="G40" s="4"/>
      <c r="H40" s="4"/>
      <c r="I40" s="4"/>
      <c r="J40" s="4"/>
      <c r="K40" s="12"/>
    </row>
    <row x14ac:dyDescent="0.25" r="41" customHeight="1" ht="18.75">
      <c r="A41" s="1"/>
      <c r="B41" s="10"/>
      <c r="C41" s="10"/>
      <c r="D41" s="11"/>
      <c r="E41" s="1"/>
      <c r="F41" s="12"/>
      <c r="G41" s="4"/>
      <c r="H41" s="4"/>
      <c r="I41" s="4"/>
      <c r="J41" s="4"/>
      <c r="K41" s="12"/>
    </row>
    <row x14ac:dyDescent="0.25" r="42" customHeight="1" ht="18.75">
      <c r="A42" s="1"/>
      <c r="B42" s="10"/>
      <c r="C42" s="10"/>
      <c r="D42" s="11"/>
      <c r="E42" s="1"/>
      <c r="F42" s="12"/>
      <c r="G42" s="4"/>
      <c r="H42" s="4"/>
      <c r="I42" s="4"/>
      <c r="J42" s="4"/>
      <c r="K42" s="12"/>
    </row>
    <row x14ac:dyDescent="0.25" r="43" customHeight="1" ht="18.75">
      <c r="A43" s="1"/>
      <c r="B43" s="10"/>
      <c r="C43" s="10"/>
      <c r="D43" s="11"/>
      <c r="E43" s="1"/>
      <c r="F43" s="12"/>
      <c r="G43" s="4"/>
      <c r="H43" s="4"/>
      <c r="I43" s="4"/>
      <c r="J43" s="4"/>
      <c r="K43" s="12"/>
    </row>
    <row x14ac:dyDescent="0.25" r="44" customHeight="1" ht="18.75">
      <c r="A44" s="1"/>
      <c r="B44" s="10"/>
      <c r="C44" s="10"/>
      <c r="D44" s="11"/>
      <c r="E44" s="1"/>
      <c r="F44" s="12"/>
      <c r="G44" s="4"/>
      <c r="H44" s="4"/>
      <c r="I44" s="4"/>
      <c r="J44" s="4"/>
      <c r="K44" s="12"/>
    </row>
    <row x14ac:dyDescent="0.25" r="45" customHeight="1" ht="18.75">
      <c r="A45" s="1"/>
      <c r="B45" s="10"/>
      <c r="C45" s="10"/>
      <c r="D45" s="11"/>
      <c r="E45" s="1"/>
      <c r="F45" s="12"/>
      <c r="G45" s="4"/>
      <c r="H45" s="4"/>
      <c r="I45" s="4"/>
      <c r="J45" s="4"/>
      <c r="K45" s="12"/>
    </row>
    <row x14ac:dyDescent="0.25" r="46" customHeight="1" ht="18.75">
      <c r="A46" s="1"/>
      <c r="B46" s="10"/>
      <c r="C46" s="10"/>
      <c r="D46" s="11"/>
      <c r="E46" s="1"/>
      <c r="F46" s="12"/>
      <c r="G46" s="4"/>
      <c r="H46" s="4"/>
      <c r="I46" s="4"/>
      <c r="J46" s="4"/>
      <c r="K46" s="12"/>
    </row>
    <row x14ac:dyDescent="0.25" r="47" customHeight="1" ht="18.75">
      <c r="A47" s="1"/>
      <c r="B47" s="10"/>
      <c r="C47" s="10"/>
      <c r="D47" s="11"/>
      <c r="E47" s="1"/>
      <c r="F47" s="12"/>
      <c r="G47" s="4"/>
      <c r="H47" s="4"/>
      <c r="I47" s="4"/>
      <c r="J47" s="4"/>
      <c r="K47" s="12"/>
    </row>
    <row x14ac:dyDescent="0.25" r="48" customHeight="1" ht="18.75">
      <c r="A48" s="1"/>
      <c r="B48" s="10"/>
      <c r="C48" s="10"/>
      <c r="D48" s="11"/>
      <c r="E48" s="1"/>
      <c r="F48" s="12"/>
      <c r="G48" s="4"/>
      <c r="H48" s="4"/>
      <c r="I48" s="4"/>
      <c r="J48" s="4"/>
      <c r="K48" s="12"/>
    </row>
    <row x14ac:dyDescent="0.25" r="49" customHeight="1" ht="18.75">
      <c r="A49" s="1"/>
      <c r="B49" s="10"/>
      <c r="C49" s="10"/>
      <c r="D49" s="11"/>
      <c r="E49" s="1"/>
      <c r="F49" s="12"/>
      <c r="G49" s="4"/>
      <c r="H49" s="4"/>
      <c r="I49" s="4"/>
      <c r="J49" s="4"/>
      <c r="K49" s="12"/>
    </row>
    <row x14ac:dyDescent="0.25" r="50" customHeight="1" ht="18.75">
      <c r="A50" s="1"/>
      <c r="B50" s="10"/>
      <c r="C50" s="10"/>
      <c r="D50" s="11"/>
      <c r="E50" s="1"/>
      <c r="F50" s="12"/>
      <c r="G50" s="4"/>
      <c r="H50" s="4"/>
      <c r="I50" s="4"/>
      <c r="J50" s="4"/>
      <c r="K50" s="12"/>
    </row>
    <row x14ac:dyDescent="0.25" r="51" customHeight="1" ht="18.75">
      <c r="A51" s="1"/>
      <c r="B51" s="10"/>
      <c r="C51" s="10"/>
      <c r="D51" s="11"/>
      <c r="E51" s="1"/>
      <c r="F51" s="12"/>
      <c r="G51" s="4"/>
      <c r="H51" s="4"/>
      <c r="I51" s="4"/>
      <c r="J51" s="4"/>
      <c r="K51" s="12"/>
    </row>
    <row x14ac:dyDescent="0.25" r="52" customHeight="1" ht="18.75">
      <c r="A52" s="1"/>
      <c r="B52" s="10"/>
      <c r="C52" s="10"/>
      <c r="D52" s="11"/>
      <c r="E52" s="1"/>
      <c r="F52" s="12"/>
      <c r="G52" s="4"/>
      <c r="H52" s="4"/>
      <c r="I52" s="4"/>
      <c r="J52" s="4"/>
      <c r="K52" s="12"/>
    </row>
    <row x14ac:dyDescent="0.25" r="53" customHeight="1" ht="18.75">
      <c r="A53" s="1"/>
      <c r="B53" s="10"/>
      <c r="C53" s="10"/>
      <c r="D53" s="11"/>
      <c r="E53" s="1"/>
      <c r="F53" s="12"/>
      <c r="G53" s="4"/>
      <c r="H53" s="4"/>
      <c r="I53" s="4"/>
      <c r="J53" s="4"/>
      <c r="K53" s="12"/>
    </row>
    <row x14ac:dyDescent="0.25" r="54" customHeight="1" ht="18.75">
      <c r="A54" s="1"/>
      <c r="B54" s="10"/>
      <c r="C54" s="10"/>
      <c r="D54" s="11"/>
      <c r="E54" s="1"/>
      <c r="F54" s="12"/>
      <c r="G54" s="4"/>
      <c r="H54" s="4"/>
      <c r="I54" s="4"/>
      <c r="J54" s="4"/>
      <c r="K54" s="12"/>
    </row>
    <row x14ac:dyDescent="0.25" r="55" customHeight="1" ht="18.75">
      <c r="A55" s="1"/>
      <c r="B55" s="10"/>
      <c r="C55" s="10"/>
      <c r="D55" s="11"/>
      <c r="E55" s="1"/>
      <c r="F55" s="12"/>
      <c r="G55" s="4"/>
      <c r="H55" s="4"/>
      <c r="I55" s="4"/>
      <c r="J55" s="4"/>
      <c r="K55" s="12"/>
    </row>
    <row x14ac:dyDescent="0.25" r="56" customHeight="1" ht="18.75">
      <c r="A56" s="1"/>
      <c r="B56" s="10"/>
      <c r="C56" s="10"/>
      <c r="D56" s="11"/>
      <c r="E56" s="1"/>
      <c r="F56" s="12"/>
      <c r="G56" s="4"/>
      <c r="H56" s="4"/>
      <c r="I56" s="4"/>
      <c r="J56" s="4"/>
      <c r="K56" s="12"/>
    </row>
    <row x14ac:dyDescent="0.25" r="57" customHeight="1" ht="18.75">
      <c r="A57" s="1"/>
      <c r="B57" s="10"/>
      <c r="C57" s="10"/>
      <c r="D57" s="11"/>
      <c r="E57" s="1"/>
      <c r="F57" s="12"/>
      <c r="G57" s="4"/>
      <c r="H57" s="4"/>
      <c r="I57" s="4"/>
      <c r="J57" s="4"/>
      <c r="K57" s="12"/>
    </row>
    <row x14ac:dyDescent="0.25" r="58" customHeight="1" ht="18.75">
      <c r="A58" s="1"/>
      <c r="B58" s="10"/>
      <c r="C58" s="10"/>
      <c r="D58" s="11"/>
      <c r="E58" s="1"/>
      <c r="F58" s="12"/>
      <c r="G58" s="4"/>
      <c r="H58" s="4"/>
      <c r="I58" s="4"/>
      <c r="J58" s="4"/>
      <c r="K58" s="12"/>
    </row>
    <row x14ac:dyDescent="0.25" r="59" customHeight="1" ht="18.75">
      <c r="A59" s="1"/>
      <c r="B59" s="10"/>
      <c r="C59" s="10"/>
      <c r="D59" s="11"/>
      <c r="E59" s="1"/>
      <c r="F59" s="12"/>
      <c r="G59" s="4"/>
      <c r="H59" s="4"/>
      <c r="I59" s="4"/>
      <c r="J59" s="4"/>
      <c r="K59" s="12"/>
    </row>
    <row x14ac:dyDescent="0.25" r="60" customHeight="1" ht="18.75">
      <c r="A60" s="1"/>
      <c r="B60" s="10"/>
      <c r="C60" s="10"/>
      <c r="D60" s="11"/>
      <c r="E60" s="1"/>
      <c r="F60" s="12"/>
      <c r="G60" s="4"/>
      <c r="H60" s="4"/>
      <c r="I60" s="4"/>
      <c r="J60" s="4"/>
      <c r="K60" s="12"/>
    </row>
    <row x14ac:dyDescent="0.25" r="61" customHeight="1" ht="18.75">
      <c r="A61" s="1"/>
      <c r="B61" s="10"/>
      <c r="C61" s="10"/>
      <c r="D61" s="11"/>
      <c r="E61" s="1"/>
      <c r="F61" s="12"/>
      <c r="G61" s="4"/>
      <c r="H61" s="4"/>
      <c r="I61" s="4"/>
      <c r="J61" s="4"/>
      <c r="K61" s="12"/>
    </row>
    <row x14ac:dyDescent="0.25" r="62" customHeight="1" ht="18.75">
      <c r="A62" s="1"/>
      <c r="B62" s="10"/>
      <c r="C62" s="10"/>
      <c r="D62" s="11"/>
      <c r="E62" s="1"/>
      <c r="F62" s="12"/>
      <c r="G62" s="4"/>
      <c r="H62" s="4"/>
      <c r="I62" s="4"/>
      <c r="J62" s="4"/>
      <c r="K62" s="12"/>
    </row>
    <row x14ac:dyDescent="0.25" r="63" customHeight="1" ht="18.75">
      <c r="A63" s="1"/>
      <c r="B63" s="10"/>
      <c r="C63" s="10"/>
      <c r="D63" s="11"/>
      <c r="E63" s="1"/>
      <c r="F63" s="12"/>
      <c r="G63" s="4"/>
      <c r="H63" s="4"/>
      <c r="I63" s="4"/>
      <c r="J63" s="4"/>
      <c r="K63" s="12"/>
    </row>
    <row x14ac:dyDescent="0.25" r="64" customHeight="1" ht="18.75">
      <c r="A64" s="1"/>
      <c r="B64" s="10"/>
      <c r="C64" s="10"/>
      <c r="D64" s="11"/>
      <c r="E64" s="1"/>
      <c r="F64" s="12"/>
      <c r="G64" s="4"/>
      <c r="H64" s="4"/>
      <c r="I64" s="4"/>
      <c r="J64" s="4"/>
      <c r="K64" s="12"/>
    </row>
    <row x14ac:dyDescent="0.25" r="65" customHeight="1" ht="18.75">
      <c r="A65" s="1"/>
      <c r="B65" s="10"/>
      <c r="C65" s="10"/>
      <c r="D65" s="11"/>
      <c r="E65" s="1"/>
      <c r="F65" s="12"/>
      <c r="G65" s="4"/>
      <c r="H65" s="4"/>
      <c r="I65" s="4"/>
      <c r="J65" s="4"/>
      <c r="K65" s="12"/>
    </row>
    <row x14ac:dyDescent="0.25" r="66" customHeight="1" ht="18.75">
      <c r="A66" s="1"/>
      <c r="B66" s="10"/>
      <c r="C66" s="10"/>
      <c r="D66" s="11"/>
      <c r="E66" s="1"/>
      <c r="F66" s="12"/>
      <c r="G66" s="4"/>
      <c r="H66" s="4"/>
      <c r="I66" s="4"/>
      <c r="J66" s="4"/>
      <c r="K66" s="12"/>
    </row>
    <row x14ac:dyDescent="0.25" r="67" customHeight="1" ht="18.75">
      <c r="A67" s="1"/>
      <c r="B67" s="10"/>
      <c r="C67" s="10"/>
      <c r="D67" s="11"/>
      <c r="E67" s="1"/>
      <c r="F67" s="12"/>
      <c r="G67" s="4"/>
      <c r="H67" s="4"/>
      <c r="I67" s="4"/>
      <c r="J67" s="4"/>
      <c r="K67" s="12"/>
    </row>
    <row x14ac:dyDescent="0.25" r="68" customHeight="1" ht="18.75">
      <c r="A68" s="1"/>
      <c r="B68" s="10"/>
      <c r="C68" s="10"/>
      <c r="D68" s="11"/>
      <c r="E68" s="1"/>
      <c r="F68" s="12"/>
      <c r="G68" s="4"/>
      <c r="H68" s="4"/>
      <c r="I68" s="4"/>
      <c r="J68" s="4"/>
      <c r="K68" s="12"/>
    </row>
    <row x14ac:dyDescent="0.25" r="69" customHeight="1" ht="18.75">
      <c r="A69" s="1"/>
      <c r="B69" s="10"/>
      <c r="C69" s="10"/>
      <c r="D69" s="11"/>
      <c r="E69" s="1"/>
      <c r="F69" s="12"/>
      <c r="G69" s="4"/>
      <c r="H69" s="4"/>
      <c r="I69" s="4"/>
      <c r="J69" s="4"/>
      <c r="K69" s="12"/>
    </row>
    <row x14ac:dyDescent="0.25" r="70" customHeight="1" ht="18.75">
      <c r="A70" s="1"/>
      <c r="B70" s="10"/>
      <c r="C70" s="10"/>
      <c r="D70" s="11"/>
      <c r="E70" s="1"/>
      <c r="F70" s="12"/>
      <c r="G70" s="4"/>
      <c r="H70" s="4"/>
      <c r="I70" s="4"/>
      <c r="J70" s="4"/>
      <c r="K70" s="12"/>
    </row>
    <row x14ac:dyDescent="0.25" r="71" customHeight="1" ht="18.75">
      <c r="A71" s="1"/>
      <c r="B71" s="10"/>
      <c r="C71" s="10"/>
      <c r="D71" s="11"/>
      <c r="E71" s="1"/>
      <c r="F71" s="12"/>
      <c r="G71" s="4"/>
      <c r="H71" s="4"/>
      <c r="I71" s="4"/>
      <c r="J71" s="4"/>
      <c r="K71" s="12"/>
    </row>
    <row x14ac:dyDescent="0.25" r="72" customHeight="1" ht="18.75">
      <c r="A72" s="1"/>
      <c r="B72" s="10"/>
      <c r="C72" s="10"/>
      <c r="D72" s="11"/>
      <c r="E72" s="1"/>
      <c r="F72" s="12"/>
      <c r="G72" s="4"/>
      <c r="H72" s="4"/>
      <c r="I72" s="4"/>
      <c r="J72" s="4"/>
      <c r="K72" s="1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8</vt:i4>
      </vt:variant>
    </vt:vector>
  </HeadingPairs>
  <TitlesOfParts>
    <vt:vector baseType="lpstr" size="8">
      <vt:lpstr>Sheet1</vt:lpstr>
      <vt:lpstr>mse</vt:lpstr>
      <vt:lpstr>fid</vt:lpstr>
      <vt:lpstr>rerun5</vt:lpstr>
      <vt:lpstr>medvae</vt:lpstr>
      <vt:lpstr>fa</vt:lpstr>
      <vt:lpstr>cif10</vt:lpstr>
      <vt:lpstr>cif100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2026-07-07T06:17:41.716Z</dcterms:created>
  <dcterms:modified xsi:type="dcterms:W3CDTF">2026-07-07T06:17:41.716Z</dcterms:modified>
</cp:coreProperties>
</file>